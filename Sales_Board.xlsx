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preservegold-my.sharepoint.com/personal/cj_thomas_preservegold_com/Documents/Leaderboard/"/>
    </mc:Choice>
  </mc:AlternateContent>
  <xr:revisionPtr revIDLastSave="38404" documentId="1_{6CA9256F-0718-432C-A019-06807108C7D0}" xr6:coauthVersionLast="47" xr6:coauthVersionMax="47" xr10:uidLastSave="{43728BCA-A4A1-4BE5-ABA0-0E256D3ADE1B}"/>
  <bookViews>
    <workbookView xWindow="-120" yWindow="-120" windowWidth="19440" windowHeight="10440" xr2:uid="{00000000-000D-0000-FFFF-FFFF00000000}"/>
  </bookViews>
  <sheets>
    <sheet name="Sales Data Current Month" sheetId="1" r:id="rId1"/>
    <sheet name="YTD 2026" sheetId="10" r:id="rId2"/>
    <sheet name="MOM 2025" sheetId="11" r:id="rId3"/>
  </sheets>
  <externalReferences>
    <externalReference r:id="rId4"/>
    <externalReference r:id="rId5"/>
  </externalReferences>
  <definedNames>
    <definedName name="_xlnm._FilterDatabase" localSheetId="2" hidden="1">'MOM 2025'!$A$1:$P$30</definedName>
    <definedName name="_xlnm._FilterDatabase" localSheetId="1" hidden="1">'YTD 2026'!$A$1:$P$24</definedName>
    <definedName name="_xlnm._FilterDatabase" localSheetId="0" hidden="1">'Sales Data Current Month'!$A$6:$I$34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/>
  <c r="H18" i="1"/>
  <c r="I18" i="1"/>
  <c r="H19" i="1"/>
  <c r="I19" i="1"/>
  <c r="H31" i="1"/>
  <c r="I31" i="1"/>
  <c r="H22" i="1"/>
  <c r="I22" i="1"/>
  <c r="H26" i="1"/>
  <c r="I26" i="1"/>
  <c r="H23" i="1"/>
  <c r="I23" i="1"/>
  <c r="H11" i="1"/>
  <c r="I11" i="1"/>
  <c r="H17" i="1"/>
  <c r="I17" i="1"/>
  <c r="H21" i="1"/>
  <c r="I21" i="1"/>
  <c r="H30" i="1"/>
  <c r="I30" i="1"/>
  <c r="H24" i="1"/>
  <c r="I24" i="1"/>
  <c r="H28" i="1"/>
  <c r="I28" i="1"/>
  <c r="H14" i="1"/>
  <c r="I14" i="1"/>
  <c r="H27" i="1"/>
  <c r="I27" i="1"/>
  <c r="H15" i="1"/>
  <c r="I15" i="1"/>
  <c r="H32" i="1"/>
  <c r="I32" i="1"/>
  <c r="H8" i="1"/>
  <c r="I8" i="1"/>
  <c r="H33" i="1"/>
  <c r="I33" i="1"/>
  <c r="H10" i="1"/>
  <c r="I10" i="1"/>
  <c r="H12" i="1"/>
  <c r="I12" i="1"/>
  <c r="H13" i="1"/>
  <c r="I13" i="1"/>
  <c r="H25" i="1"/>
  <c r="I25" i="1"/>
  <c r="H16" i="1"/>
  <c r="I16" i="1"/>
  <c r="H34" i="1"/>
  <c r="I34" i="1"/>
  <c r="H9" i="1"/>
  <c r="I9" i="1"/>
  <c r="H29" i="1"/>
  <c r="I29" i="1"/>
  <c r="H20" i="1"/>
  <c r="I20" i="1"/>
  <c r="G7" i="1"/>
  <c r="G18" i="1"/>
  <c r="G19" i="1"/>
  <c r="G31" i="1"/>
  <c r="G22" i="1"/>
  <c r="G26" i="1"/>
  <c r="G23" i="1"/>
  <c r="G11" i="1"/>
  <c r="G17" i="1"/>
  <c r="G21" i="1"/>
  <c r="G30" i="1"/>
  <c r="G24" i="1"/>
  <c r="G28" i="1"/>
  <c r="G14" i="1"/>
  <c r="G27" i="1"/>
  <c r="G15" i="1"/>
  <c r="G32" i="1"/>
  <c r="G8" i="1"/>
  <c r="G33" i="1"/>
  <c r="G10" i="1"/>
  <c r="G12" i="1"/>
  <c r="G13" i="1"/>
  <c r="G25" i="1"/>
  <c r="G16" i="1"/>
  <c r="G34" i="1"/>
  <c r="G9" i="1"/>
  <c r="G29" i="1"/>
  <c r="G20" i="1"/>
  <c r="E7" i="1"/>
  <c r="F7" i="1"/>
  <c r="E18" i="1"/>
  <c r="F18" i="1"/>
  <c r="E19" i="1"/>
  <c r="F19" i="1"/>
  <c r="E31" i="1"/>
  <c r="F31" i="1"/>
  <c r="E22" i="1"/>
  <c r="F22" i="1"/>
  <c r="E26" i="1"/>
  <c r="F26" i="1"/>
  <c r="E23" i="1"/>
  <c r="F23" i="1"/>
  <c r="E11" i="1"/>
  <c r="F11" i="1"/>
  <c r="E17" i="1"/>
  <c r="F17" i="1"/>
  <c r="E21" i="1"/>
  <c r="F21" i="1"/>
  <c r="E30" i="1"/>
  <c r="F30" i="1"/>
  <c r="E24" i="1"/>
  <c r="F24" i="1"/>
  <c r="E28" i="1"/>
  <c r="F28" i="1"/>
  <c r="E14" i="1"/>
  <c r="F14" i="1"/>
  <c r="E27" i="1"/>
  <c r="F27" i="1"/>
  <c r="E15" i="1"/>
  <c r="F15" i="1"/>
  <c r="E32" i="1"/>
  <c r="F32" i="1"/>
  <c r="E8" i="1"/>
  <c r="F8" i="1"/>
  <c r="E33" i="1"/>
  <c r="F33" i="1"/>
  <c r="E10" i="1"/>
  <c r="F10" i="1"/>
  <c r="E12" i="1"/>
  <c r="F12" i="1"/>
  <c r="E13" i="1"/>
  <c r="F13" i="1"/>
  <c r="E25" i="1"/>
  <c r="F25" i="1"/>
  <c r="E16" i="1"/>
  <c r="F16" i="1"/>
  <c r="E34" i="1"/>
  <c r="F34" i="1"/>
  <c r="E9" i="1"/>
  <c r="F9" i="1"/>
  <c r="E29" i="1"/>
  <c r="F29" i="1"/>
  <c r="E20" i="1"/>
  <c r="F20" i="1"/>
  <c r="D7" i="1"/>
  <c r="D18" i="1"/>
  <c r="D19" i="1"/>
  <c r="D31" i="1"/>
  <c r="D22" i="1"/>
  <c r="D26" i="1"/>
  <c r="D23" i="1"/>
  <c r="D11" i="1"/>
  <c r="D17" i="1"/>
  <c r="D21" i="1"/>
  <c r="D30" i="1"/>
  <c r="D24" i="1"/>
  <c r="D28" i="1"/>
  <c r="D14" i="1"/>
  <c r="D27" i="1"/>
  <c r="D15" i="1"/>
  <c r="D32" i="1"/>
  <c r="D8" i="1"/>
  <c r="D33" i="1"/>
  <c r="D10" i="1"/>
  <c r="D12" i="1"/>
  <c r="D13" i="1"/>
  <c r="D25" i="1"/>
  <c r="D16" i="1"/>
  <c r="D34" i="1"/>
  <c r="D9" i="1"/>
  <c r="D29" i="1"/>
  <c r="D20" i="1"/>
  <c r="C7" i="1"/>
  <c r="C18" i="1"/>
  <c r="C19" i="1"/>
  <c r="C31" i="1"/>
  <c r="C22" i="1"/>
  <c r="C26" i="1"/>
  <c r="C23" i="1"/>
  <c r="C11" i="1"/>
  <c r="C17" i="1"/>
  <c r="C21" i="1"/>
  <c r="C30" i="1"/>
  <c r="C24" i="1"/>
  <c r="C28" i="1"/>
  <c r="C14" i="1"/>
  <c r="C27" i="1"/>
  <c r="C15" i="1"/>
  <c r="C32" i="1"/>
  <c r="C8" i="1"/>
  <c r="C33" i="1"/>
  <c r="C10" i="1"/>
  <c r="C12" i="1"/>
  <c r="C13" i="1"/>
  <c r="C25" i="1"/>
  <c r="C16" i="1"/>
  <c r="C34" i="1"/>
  <c r="C9" i="1"/>
  <c r="C29" i="1"/>
  <c r="C20" i="1"/>
  <c r="B7" i="1"/>
  <c r="B18" i="1"/>
  <c r="B19" i="1"/>
  <c r="B31" i="1"/>
  <c r="B22" i="1"/>
  <c r="B26" i="1"/>
  <c r="B23" i="1"/>
  <c r="B11" i="1"/>
  <c r="B17" i="1"/>
  <c r="B21" i="1"/>
  <c r="B30" i="1"/>
  <c r="B24" i="1"/>
  <c r="B28" i="1"/>
  <c r="B14" i="1"/>
  <c r="B27" i="1"/>
  <c r="B15" i="1"/>
  <c r="B32" i="1"/>
  <c r="B8" i="1"/>
  <c r="B33" i="1"/>
  <c r="B10" i="1"/>
  <c r="B12" i="1"/>
  <c r="B13" i="1"/>
  <c r="B25" i="1"/>
  <c r="B16" i="1"/>
  <c r="B34" i="1"/>
  <c r="B9" i="1"/>
  <c r="B29" i="1"/>
  <c r="B20" i="1"/>
  <c r="A2" i="10"/>
  <c r="B2" i="10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A3" i="10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A4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A1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A2" i="1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A1" i="10"/>
  <c r="B1" i="10"/>
  <c r="C1" i="10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G6" i="1"/>
  <c r="H6" i="1"/>
  <c r="I6" i="1"/>
  <c r="E6" i="1"/>
  <c r="F6" i="1"/>
  <c r="B36" i="1" l="1"/>
  <c r="C36" i="1"/>
  <c r="D36" i="1"/>
  <c r="F36" i="1"/>
  <c r="E36" i="1"/>
  <c r="I36" i="1"/>
  <c r="H36" i="1"/>
</calcChain>
</file>

<file path=xl/sharedStrings.xml><?xml version="1.0" encoding="utf-8"?>
<sst xmlns="http://schemas.openxmlformats.org/spreadsheetml/2006/main" count="33" uniqueCount="33">
  <si>
    <t>Rep</t>
  </si>
  <si>
    <t>Full Sales</t>
  </si>
  <si>
    <t>Pipeline</t>
  </si>
  <si>
    <t>Deals</t>
  </si>
  <si>
    <t>Aaron Crossman</t>
  </si>
  <si>
    <t>Ken John</t>
  </si>
  <si>
    <t>Shelly Barba</t>
  </si>
  <si>
    <t>Oliver Moseby</t>
  </si>
  <si>
    <t>Caleb Brown</t>
  </si>
  <si>
    <t>Reginald Davis</t>
  </si>
  <si>
    <t>Ryan Mullen</t>
  </si>
  <si>
    <t>James Martz</t>
  </si>
  <si>
    <t>John Wyshak</t>
  </si>
  <si>
    <t>Sean Porazzo</t>
  </si>
  <si>
    <t>Carson Goodwin</t>
  </si>
  <si>
    <t>Alana Pirrello</t>
  </si>
  <si>
    <t>Alex Kanish</t>
  </si>
  <si>
    <t>Zack Malal</t>
  </si>
  <si>
    <t>Dave Wright</t>
  </si>
  <si>
    <t>Angie Richards</t>
  </si>
  <si>
    <t>Brittany Durroh</t>
  </si>
  <si>
    <t>Donovan Wilson</t>
  </si>
  <si>
    <t>Sal Obando</t>
  </si>
  <si>
    <t>Beverly Danes</t>
  </si>
  <si>
    <t>Jericho Griffith</t>
  </si>
  <si>
    <t>Eric Plotkin</t>
  </si>
  <si>
    <t>Tanner Brooks</t>
  </si>
  <si>
    <t>David Knox</t>
  </si>
  <si>
    <t>Amanda Wilson</t>
  </si>
  <si>
    <t>Katharine Boston</t>
  </si>
  <si>
    <t>Nick Belvis</t>
  </si>
  <si>
    <t>Shannon McDowell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</si>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</sst>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_([$$-409]* #,##0.00_);_([$$-409]* \(#,##0.00\);_([$$-409]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44" fontId="0" fillId="0" borderId="0" xfId="1" applyFont="1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164" fontId="7" fillId="0" borderId="0" xfId="0" applyNumberFormat="1" applyFont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2" fontId="4" fillId="3" borderId="16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4" fontId="5" fillId="0" borderId="1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44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2" fontId="4" fillId="3" borderId="19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4" fontId="3" fillId="3" borderId="4" xfId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" fontId="3" fillId="3" borderId="4" xfId="0" applyNumberFormat="1" applyFont="1" applyFill="1" applyBorder="1" applyAlignment="1">
      <alignment horizontal="center" vertical="center"/>
    </xf>
    <xf numFmtId="2" fontId="3" fillId="3" borderId="20" xfId="0" applyNumberFormat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3" fillId="7" borderId="13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5" fontId="3" fillId="4" borderId="23" xfId="0" applyNumberFormat="1" applyFont="1" applyFill="1" applyBorder="1" applyAlignment="1">
      <alignment horizontal="center" vertical="center"/>
    </xf>
    <xf numFmtId="165" fontId="3" fillId="5" borderId="23" xfId="0" applyNumberFormat="1" applyFont="1" applyFill="1" applyBorder="1" applyAlignment="1">
      <alignment horizontal="center" vertical="center"/>
    </xf>
    <xf numFmtId="165" fontId="3" fillId="7" borderId="24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44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4" fillId="3" borderId="21" xfId="0" applyNumberFormat="1" applyFont="1" applyFill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5" fontId="3" fillId="0" borderId="31" xfId="0" applyNumberFormat="1" applyFont="1" applyBorder="1" applyAlignment="1">
      <alignment horizontal="center" vertical="center"/>
    </xf>
    <xf numFmtId="165" fontId="3" fillId="0" borderId="29" xfId="0" applyNumberFormat="1" applyFont="1" applyBorder="1" applyAlignment="1">
      <alignment horizontal="center" vertical="center"/>
    </xf>
    <xf numFmtId="165" fontId="3" fillId="0" borderId="30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center" vertical="center"/>
    </xf>
    <xf numFmtId="165" fontId="5" fillId="3" borderId="6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vertical="center"/>
    </xf>
    <xf numFmtId="44" fontId="5" fillId="0" borderId="8" xfId="0" applyNumberFormat="1" applyFont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1371600</xdr:colOff>
      <xdr:row>0</xdr:row>
      <xdr:rowOff>-19050</xdr:rowOff>
    </xdr:from>
    <xdr:to>
      <xdr:col>6</xdr:col>
      <xdr:colOff>352425</xdr:colOff>
      <xdr:row>4</xdr:row>
      <xdr:rowOff>133350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2FB4E2B-79B5-FC5F-5073-A08D46F4B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-19050"/>
          <a:ext cx="45720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eservegold-my.sharepoint.com/personal/cj_thomas_preservegold_com/Documents/Leaderboard/Sales_Analytics.xlsx" TargetMode="External"/><Relationship Id="rId1" Type="http://schemas.openxmlformats.org/officeDocument/2006/relationships/externalLinkPath" Target="Sales_Analytic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jennifer_good_preservegold_com/Documents/Deal%20and%20Commission%20Tracker.xlsx" TargetMode="External"/><Relationship Id="rId2" Type="http://schemas.openxmlformats.org/officeDocument/2006/relationships/externalLinkPath" Target="https://preservegold-my.sharepoint.com/personal/jennifer_good_preservegold_com/Documents/Deal%20and%20Commission%20Tracker.xlsx" TargetMode="External"/><Relationship Id="rId1" Type="http://schemas.openxmlformats.org/officeDocument/2006/relationships/externalLinkPath" Target="/personal/jennifer_good_preservegold_com/Documents/Deal%20and%20Commission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9IRzKtgkkONH7IpalA8wp3arqwNOfZMr6Ng2dXtfYUCo5ZOgiqHQqN_ANfB2QXr" itemId="012B4O5HLUHLZXDDJNIZF3AK6EO3YBG42C">
      <xxl21:absoluteUrl r:id="rId2"/>
    </xxl21:alternateUrls>
    <sheetNames>
      <sheetName val="Leaderboard Main Table"/>
      <sheetName val="Call_Data_Current"/>
      <sheetName val="AE Preformance"/>
      <sheetName val="SR Director Preformance"/>
      <sheetName val="Lead Distribution"/>
      <sheetName val="MOM 2026"/>
      <sheetName val="MOM 2025"/>
      <sheetName val="MOM 2024"/>
      <sheetName val="July 2024"/>
      <sheetName val="Aug 2024"/>
      <sheetName val="October24"/>
      <sheetName val="November24"/>
      <sheetName val="December 2024"/>
      <sheetName val="January 2025"/>
      <sheetName val="Feb 2025"/>
      <sheetName val="March 2025"/>
      <sheetName val="April 2025"/>
      <sheetName val="May 2025"/>
      <sheetName val="June 2025"/>
      <sheetName val="July 2025"/>
      <sheetName val="August 2025"/>
      <sheetName val="September 2025"/>
      <sheetName val="October 2025"/>
      <sheetName val="November 2025"/>
      <sheetName val="December 2025"/>
      <sheetName val="Jan 2026"/>
      <sheetName val="Feb 2026"/>
      <sheetName val="March 2026"/>
      <sheetName val="Draw"/>
      <sheetName val="APPS &amp; Deals"/>
      <sheetName val="Sheet1"/>
      <sheetName val="Weekly Qual"/>
      <sheetName val="MOM YTD"/>
      <sheetName val="December"/>
    </sheetNames>
    <sheetDataSet>
      <sheetData sheetId="0">
        <row r="1">
          <cell r="J1" t="str">
            <v>Calls MTD</v>
          </cell>
          <cell r="K1" t="str">
            <v>CPD Adjusted</v>
          </cell>
          <cell r="M1" t="str">
            <v>Call Min Met</v>
          </cell>
          <cell r="N1" t="str">
            <v>Talk Time MTD</v>
          </cell>
          <cell r="O1" t="str">
            <v>TTPD Adjusted</v>
          </cell>
        </row>
        <row r="2">
          <cell r="J2">
            <v>180</v>
          </cell>
          <cell r="K2">
            <v>10</v>
          </cell>
          <cell r="M2" t="str">
            <v>✅</v>
          </cell>
          <cell r="N2">
            <v>2661.6</v>
          </cell>
          <cell r="O2">
            <v>147.8666666666667</v>
          </cell>
        </row>
        <row r="3">
          <cell r="J3">
            <v>6277</v>
          </cell>
          <cell r="K3">
            <v>348.72222222222217</v>
          </cell>
          <cell r="M3" t="str">
            <v>❌</v>
          </cell>
          <cell r="N3">
            <v>3482.4</v>
          </cell>
          <cell r="O3">
            <v>193.4666666666667</v>
          </cell>
        </row>
        <row r="4">
          <cell r="J4">
            <v>4837</v>
          </cell>
          <cell r="K4">
            <v>268.72222222222217</v>
          </cell>
          <cell r="M4" t="str">
            <v>✅</v>
          </cell>
          <cell r="N4">
            <v>2915.4</v>
          </cell>
          <cell r="O4">
            <v>161.9666666666667</v>
          </cell>
        </row>
        <row r="5">
          <cell r="J5">
            <v>4956</v>
          </cell>
          <cell r="K5">
            <v>275.33333333333331</v>
          </cell>
          <cell r="M5" t="str">
            <v>❌</v>
          </cell>
          <cell r="N5">
            <v>2404.1999999999998</v>
          </cell>
          <cell r="O5">
            <v>133.56666666666669</v>
          </cell>
        </row>
        <row r="6">
          <cell r="J6">
            <v>4840</v>
          </cell>
          <cell r="K6">
            <v>268.88888888888903</v>
          </cell>
          <cell r="M6" t="str">
            <v>❌</v>
          </cell>
          <cell r="N6">
            <v>2391</v>
          </cell>
          <cell r="O6">
            <v>132.83333333333329</v>
          </cell>
        </row>
        <row r="7">
          <cell r="J7">
            <v>5218</v>
          </cell>
          <cell r="K7">
            <v>289.88888888888903</v>
          </cell>
          <cell r="M7" t="str">
            <v>❌</v>
          </cell>
          <cell r="N7">
            <v>3180.6</v>
          </cell>
          <cell r="O7">
            <v>176.7</v>
          </cell>
        </row>
        <row r="8">
          <cell r="J8">
            <v>0</v>
          </cell>
          <cell r="K8">
            <v>0</v>
          </cell>
          <cell r="M8" t="str">
            <v>❌</v>
          </cell>
          <cell r="N8">
            <v>0</v>
          </cell>
          <cell r="O8">
            <v>0</v>
          </cell>
        </row>
        <row r="9">
          <cell r="J9">
            <v>875</v>
          </cell>
          <cell r="K9">
            <v>48.611111111111107</v>
          </cell>
          <cell r="M9" t="str">
            <v>✅</v>
          </cell>
          <cell r="N9">
            <v>2133.6</v>
          </cell>
          <cell r="O9">
            <v>118.5333333333333</v>
          </cell>
        </row>
        <row r="10">
          <cell r="J10">
            <v>5310</v>
          </cell>
          <cell r="K10">
            <v>295</v>
          </cell>
          <cell r="M10" t="str">
            <v>❌</v>
          </cell>
          <cell r="N10">
            <v>3632.4</v>
          </cell>
          <cell r="O10">
            <v>201.8</v>
          </cell>
        </row>
        <row r="11">
          <cell r="J11">
            <v>4241</v>
          </cell>
          <cell r="K11">
            <v>235.61111111111109</v>
          </cell>
          <cell r="M11" t="str">
            <v>❌</v>
          </cell>
          <cell r="N11">
            <v>2672.4</v>
          </cell>
          <cell r="O11">
            <v>148.4666666666667</v>
          </cell>
        </row>
        <row r="12">
          <cell r="J12">
            <v>5609</v>
          </cell>
          <cell r="K12">
            <v>311.61111111111109</v>
          </cell>
          <cell r="M12" t="str">
            <v>❌</v>
          </cell>
          <cell r="N12">
            <v>2399.4</v>
          </cell>
          <cell r="O12">
            <v>133.30000000000001</v>
          </cell>
        </row>
        <row r="13">
          <cell r="J13">
            <v>4988</v>
          </cell>
          <cell r="K13">
            <v>277.11111111111109</v>
          </cell>
          <cell r="M13" t="str">
            <v>❌</v>
          </cell>
          <cell r="N13">
            <v>3219.6</v>
          </cell>
          <cell r="O13">
            <v>178.8666666666667</v>
          </cell>
        </row>
        <row r="14">
          <cell r="J14">
            <v>4713</v>
          </cell>
          <cell r="K14">
            <v>261.83333333333331</v>
          </cell>
          <cell r="M14" t="str">
            <v>❌</v>
          </cell>
          <cell r="N14">
            <v>2711.4</v>
          </cell>
          <cell r="O14">
            <v>150.6333333333333</v>
          </cell>
        </row>
        <row r="15">
          <cell r="J15">
            <v>1881</v>
          </cell>
          <cell r="K15">
            <v>104.5</v>
          </cell>
          <cell r="M15" t="str">
            <v>❌</v>
          </cell>
          <cell r="N15">
            <v>3117</v>
          </cell>
          <cell r="O15">
            <v>173.16666666666671</v>
          </cell>
        </row>
        <row r="16">
          <cell r="J16">
            <v>5439</v>
          </cell>
          <cell r="K16">
            <v>302.16666666666657</v>
          </cell>
          <cell r="M16" t="str">
            <v>❌</v>
          </cell>
          <cell r="N16">
            <v>1784.4</v>
          </cell>
          <cell r="O16">
            <v>99.13333333333334</v>
          </cell>
        </row>
        <row r="17">
          <cell r="J17">
            <v>3641</v>
          </cell>
          <cell r="K17">
            <v>202.2777777777778</v>
          </cell>
          <cell r="M17" t="str">
            <v>❌</v>
          </cell>
          <cell r="N17">
            <v>3705</v>
          </cell>
          <cell r="O17">
            <v>205.83333333333329</v>
          </cell>
        </row>
        <row r="18">
          <cell r="J18">
            <v>1832</v>
          </cell>
          <cell r="K18">
            <v>101.7777777777778</v>
          </cell>
          <cell r="M18" t="str">
            <v>❌</v>
          </cell>
          <cell r="N18">
            <v>1055.4000000000001</v>
          </cell>
          <cell r="O18">
            <v>58.63333333333334</v>
          </cell>
        </row>
        <row r="19">
          <cell r="J19">
            <v>2980</v>
          </cell>
          <cell r="K19">
            <v>165.55555555555549</v>
          </cell>
          <cell r="M19" t="str">
            <v>✅</v>
          </cell>
          <cell r="N19">
            <v>4693.2</v>
          </cell>
          <cell r="O19">
            <v>260.73333333333329</v>
          </cell>
        </row>
        <row r="20">
          <cell r="J20">
            <v>5866</v>
          </cell>
          <cell r="K20">
            <v>325.88888888888903</v>
          </cell>
          <cell r="M20" t="str">
            <v>❌</v>
          </cell>
          <cell r="N20">
            <v>2227.8000000000002</v>
          </cell>
          <cell r="O20">
            <v>123.76666666666669</v>
          </cell>
        </row>
        <row r="21">
          <cell r="J21">
            <v>1073</v>
          </cell>
          <cell r="K21">
            <v>59.611111111111107</v>
          </cell>
          <cell r="M21" t="str">
            <v>✅</v>
          </cell>
          <cell r="N21">
            <v>1831.2</v>
          </cell>
          <cell r="O21">
            <v>101.73333333333331</v>
          </cell>
        </row>
        <row r="22">
          <cell r="J22">
            <v>5345</v>
          </cell>
          <cell r="K22">
            <v>296.94444444444451</v>
          </cell>
          <cell r="M22" t="str">
            <v>❌</v>
          </cell>
          <cell r="N22">
            <v>3114.6</v>
          </cell>
          <cell r="O22">
            <v>173.0333333333333</v>
          </cell>
        </row>
        <row r="23">
          <cell r="J23">
            <v>8</v>
          </cell>
          <cell r="K23">
            <v>0.44444444444444398</v>
          </cell>
          <cell r="M23" t="str">
            <v>✅</v>
          </cell>
          <cell r="N23">
            <v>55.2</v>
          </cell>
          <cell r="O23">
            <v>3.0666666666666669</v>
          </cell>
        </row>
        <row r="24">
          <cell r="J24">
            <v>6079</v>
          </cell>
          <cell r="K24">
            <v>337.72222222222217</v>
          </cell>
          <cell r="M24" t="str">
            <v>✅</v>
          </cell>
          <cell r="N24">
            <v>2417.4</v>
          </cell>
          <cell r="O24">
            <v>134.30000000000001</v>
          </cell>
        </row>
        <row r="25">
          <cell r="J25">
            <v>5196</v>
          </cell>
          <cell r="K25">
            <v>288.66666666666657</v>
          </cell>
          <cell r="M25" t="str">
            <v>❌</v>
          </cell>
          <cell r="N25">
            <v>2982</v>
          </cell>
          <cell r="O25">
            <v>165.66666666666671</v>
          </cell>
        </row>
        <row r="26">
          <cell r="J26">
            <v>6960</v>
          </cell>
          <cell r="K26">
            <v>386.66666666666657</v>
          </cell>
          <cell r="M26" t="str">
            <v>✅</v>
          </cell>
          <cell r="N26">
            <v>2651.4</v>
          </cell>
          <cell r="O26">
            <v>147.30000000000001</v>
          </cell>
        </row>
        <row r="27">
          <cell r="J27">
            <v>4296</v>
          </cell>
          <cell r="K27">
            <v>238.66666666666671</v>
          </cell>
          <cell r="M27" t="str">
            <v>✅</v>
          </cell>
          <cell r="N27">
            <v>2532.6</v>
          </cell>
          <cell r="O27">
            <v>140.69999999999999</v>
          </cell>
        </row>
        <row r="28">
          <cell r="J28">
            <v>4684</v>
          </cell>
          <cell r="K28">
            <v>260.22222222222217</v>
          </cell>
          <cell r="M28" t="str">
            <v>❌</v>
          </cell>
          <cell r="N28">
            <v>1666.2</v>
          </cell>
          <cell r="O28">
            <v>92.566666666666663</v>
          </cell>
        </row>
        <row r="29">
          <cell r="J29">
            <v>5164</v>
          </cell>
          <cell r="K29">
            <v>286.88888888888903</v>
          </cell>
          <cell r="M29" t="str">
            <v>❌</v>
          </cell>
          <cell r="N29">
            <v>2120.4</v>
          </cell>
          <cell r="O29">
            <v>117.8</v>
          </cell>
        </row>
      </sheetData>
      <sheetData sheetId="1"/>
      <sheetData sheetId="2"/>
      <sheetData sheetId="3"/>
      <sheetData sheetId="4"/>
      <sheetData sheetId="5">
        <row r="1">
          <cell r="A1">
            <v>2026</v>
          </cell>
          <cell r="B1" t="str">
            <v>January</v>
          </cell>
          <cell r="C1" t="str">
            <v>February</v>
          </cell>
          <cell r="D1" t="str">
            <v>March</v>
          </cell>
          <cell r="E1" t="str">
            <v>April</v>
          </cell>
          <cell r="F1" t="str">
            <v>May</v>
          </cell>
          <cell r="G1" t="str">
            <v>June</v>
          </cell>
          <cell r="H1" t="str">
            <v>July</v>
          </cell>
          <cell r="I1" t="str">
            <v>August</v>
          </cell>
          <cell r="J1" t="str">
            <v>September</v>
          </cell>
          <cell r="K1" t="str">
            <v>October</v>
          </cell>
          <cell r="L1" t="str">
            <v>November</v>
          </cell>
          <cell r="M1" t="str">
            <v>December</v>
          </cell>
          <cell r="N1" t="str">
            <v>Monthly Average</v>
          </cell>
          <cell r="O1" t="str">
            <v>YTD Total</v>
          </cell>
          <cell r="P1" t="str">
            <v>Year End Projection</v>
          </cell>
        </row>
        <row r="2">
          <cell r="A2" t="str">
            <v>Aaron Crossman</v>
          </cell>
          <cell r="B2">
            <v>2144832.17</v>
          </cell>
          <cell r="C2">
            <v>4009663.4451454701</v>
          </cell>
          <cell r="D2">
            <v>1251115.04465495</v>
          </cell>
          <cell r="E2"/>
          <cell r="F2"/>
          <cell r="G2"/>
          <cell r="H2"/>
          <cell r="I2"/>
          <cell r="J2"/>
          <cell r="K2"/>
          <cell r="L2"/>
          <cell r="M2"/>
          <cell r="N2">
            <v>3702805.3299002098</v>
          </cell>
          <cell r="O2">
            <v>7405610.6598004196</v>
          </cell>
          <cell r="P2">
            <v>44433663.958802499</v>
          </cell>
        </row>
        <row r="3">
          <cell r="A3" t="str">
            <v>Alana Pirrello</v>
          </cell>
          <cell r="B3">
            <v>280442.25</v>
          </cell>
          <cell r="C3">
            <v>204690.0712418787</v>
          </cell>
          <cell r="D3">
            <v>453860.96014928061</v>
          </cell>
          <cell r="E3"/>
          <cell r="F3"/>
          <cell r="G3"/>
          <cell r="H3"/>
          <cell r="I3"/>
          <cell r="J3"/>
          <cell r="K3"/>
          <cell r="L3"/>
          <cell r="M3"/>
          <cell r="N3">
            <v>469496.64069557958</v>
          </cell>
          <cell r="O3">
            <v>938993.28139115928</v>
          </cell>
          <cell r="P3">
            <v>5633959.6883469597</v>
          </cell>
        </row>
        <row r="4">
          <cell r="A4" t="str">
            <v>Alex Kanish</v>
          </cell>
          <cell r="B4">
            <v>484511.51</v>
          </cell>
          <cell r="C4">
            <v>377903.77445870242</v>
          </cell>
          <cell r="D4">
            <v>21323.07802229208</v>
          </cell>
          <cell r="E4"/>
          <cell r="F4"/>
          <cell r="G4"/>
          <cell r="H4"/>
          <cell r="I4"/>
          <cell r="J4"/>
          <cell r="K4"/>
          <cell r="L4"/>
          <cell r="M4"/>
          <cell r="N4">
            <v>441869.18124049727</v>
          </cell>
          <cell r="O4">
            <v>883738.36248099455</v>
          </cell>
          <cell r="P4">
            <v>5302430.1748859696</v>
          </cell>
        </row>
        <row r="5">
          <cell r="A5" t="str">
            <v>Angie Richards</v>
          </cell>
          <cell r="B5">
            <v>125772.13</v>
          </cell>
          <cell r="C5">
            <v>153723.29236924829</v>
          </cell>
          <cell r="D5">
            <v>283349.09974278382</v>
          </cell>
          <cell r="E5"/>
          <cell r="F5"/>
          <cell r="G5"/>
          <cell r="H5"/>
          <cell r="I5"/>
          <cell r="J5"/>
          <cell r="K5"/>
          <cell r="L5"/>
          <cell r="M5"/>
          <cell r="N5">
            <v>281422.26105601608</v>
          </cell>
          <cell r="O5">
            <v>562844.52211203217</v>
          </cell>
          <cell r="P5">
            <v>3377067.1326721902</v>
          </cell>
        </row>
        <row r="6">
          <cell r="A6" t="str">
            <v>Beverly Danes</v>
          </cell>
          <cell r="B6">
            <v>179187.65</v>
          </cell>
          <cell r="C6">
            <v>209055.19810317241</v>
          </cell>
          <cell r="D6">
            <v>24793.255215775949</v>
          </cell>
          <cell r="E6"/>
          <cell r="F6"/>
          <cell r="G6"/>
          <cell r="H6"/>
          <cell r="I6"/>
          <cell r="J6"/>
          <cell r="K6"/>
          <cell r="L6"/>
          <cell r="M6"/>
          <cell r="N6">
            <v>206518.05165947409</v>
          </cell>
          <cell r="O6">
            <v>413036.1033189483</v>
          </cell>
          <cell r="P6">
            <v>2478216.6199136898</v>
          </cell>
        </row>
        <row r="7">
          <cell r="A7" t="str">
            <v>Brittany Durroh</v>
          </cell>
          <cell r="B7">
            <v>82864.639999999999</v>
          </cell>
          <cell r="C7">
            <v>218057.15918833949</v>
          </cell>
          <cell r="D7">
            <v>48533.438125178611</v>
          </cell>
          <cell r="E7"/>
          <cell r="F7"/>
          <cell r="G7"/>
          <cell r="H7"/>
          <cell r="I7"/>
          <cell r="J7"/>
          <cell r="K7"/>
          <cell r="L7"/>
          <cell r="M7"/>
          <cell r="N7">
            <v>174727.61865675909</v>
          </cell>
          <cell r="O7">
            <v>349455.23731351813</v>
          </cell>
          <cell r="P7">
            <v>2096731.42388111</v>
          </cell>
        </row>
        <row r="8">
          <cell r="A8" t="str">
            <v>Caleb Brown</v>
          </cell>
          <cell r="B8">
            <v>1254035.6200000001</v>
          </cell>
          <cell r="C8">
            <v>718954.63465752103</v>
          </cell>
          <cell r="D8">
            <v>735978.70820234355</v>
          </cell>
          <cell r="E8"/>
          <cell r="F8"/>
          <cell r="G8"/>
          <cell r="H8"/>
          <cell r="I8"/>
          <cell r="J8"/>
          <cell r="K8"/>
          <cell r="L8"/>
          <cell r="M8"/>
          <cell r="N8">
            <v>1354484.4814299301</v>
          </cell>
          <cell r="O8">
            <v>2708968.9628598602</v>
          </cell>
          <cell r="P8">
            <v>16253813.777159199</v>
          </cell>
        </row>
        <row r="9">
          <cell r="A9" t="str">
            <v>Carson Goodwin</v>
          </cell>
          <cell r="B9">
            <v>438445.5</v>
          </cell>
          <cell r="C9">
            <v>888252.70077164902</v>
          </cell>
          <cell r="D9">
            <v>83146.070305801666</v>
          </cell>
          <cell r="E9"/>
          <cell r="F9"/>
          <cell r="G9"/>
          <cell r="H9"/>
          <cell r="I9"/>
          <cell r="J9"/>
          <cell r="K9"/>
          <cell r="L9"/>
          <cell r="M9"/>
          <cell r="N9">
            <v>704922.1355387253</v>
          </cell>
          <cell r="O9">
            <v>1409844.2710774499</v>
          </cell>
          <cell r="P9">
            <v>8459065.6264647003</v>
          </cell>
        </row>
        <row r="10">
          <cell r="A10" t="str">
            <v>Chad Keene</v>
          </cell>
          <cell r="B10"/>
          <cell r="C10">
            <v>38630.95170048585</v>
          </cell>
          <cell r="D10">
            <v>45106.78765361532</v>
          </cell>
          <cell r="E10"/>
          <cell r="F10"/>
          <cell r="G10"/>
          <cell r="H10"/>
          <cell r="I10"/>
          <cell r="J10"/>
          <cell r="K10"/>
          <cell r="L10"/>
          <cell r="M10"/>
          <cell r="N10">
            <v>41868.869677050578</v>
          </cell>
          <cell r="O10">
            <v>83737.739354101155</v>
          </cell>
          <cell r="P10">
            <v>502426.43612460699</v>
          </cell>
        </row>
        <row r="11">
          <cell r="A11" t="str">
            <v>Dave Wright</v>
          </cell>
          <cell r="B11">
            <v>173993.04</v>
          </cell>
          <cell r="C11">
            <v>708863.73249499861</v>
          </cell>
          <cell r="D11">
            <v>52631.018386205571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>
            <v>467743.89544060209</v>
          </cell>
          <cell r="O11">
            <v>935487.79088120419</v>
          </cell>
          <cell r="P11">
            <v>5612926.74528722</v>
          </cell>
        </row>
        <row r="12">
          <cell r="A12" t="str">
            <v>David Knox</v>
          </cell>
          <cell r="B12"/>
          <cell r="C12">
            <v>1714.061160331524</v>
          </cell>
          <cell r="D12">
            <v>1649.2426407545011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>
            <v>1681.651900543013</v>
          </cell>
          <cell r="O12">
            <v>3363.303801086025</v>
          </cell>
          <cell r="P12">
            <v>20179.822806516149</v>
          </cell>
        </row>
        <row r="13">
          <cell r="A13" t="str">
            <v>Donovan Wilson</v>
          </cell>
          <cell r="B13">
            <v>378014.87</v>
          </cell>
          <cell r="C13">
            <v>421693.24331294652</v>
          </cell>
          <cell r="D13">
            <v>165973.3233358103</v>
          </cell>
          <cell r="E13"/>
          <cell r="F13"/>
          <cell r="G13"/>
          <cell r="H13"/>
          <cell r="I13"/>
          <cell r="J13"/>
          <cell r="K13"/>
          <cell r="L13"/>
          <cell r="M13"/>
          <cell r="N13">
            <v>482840.71832437842</v>
          </cell>
          <cell r="O13">
            <v>965681.43664875685</v>
          </cell>
          <cell r="P13">
            <v>5794088.6198925404</v>
          </cell>
        </row>
        <row r="14">
          <cell r="A14" t="str">
            <v>Eric Plotkin</v>
          </cell>
          <cell r="B14"/>
          <cell r="C14">
            <v>55865.261503286652</v>
          </cell>
          <cell r="D14">
            <v>1431.5518719634169</v>
          </cell>
          <cell r="E14"/>
          <cell r="F14"/>
          <cell r="G14"/>
          <cell r="H14"/>
          <cell r="I14"/>
          <cell r="J14"/>
          <cell r="K14"/>
          <cell r="L14"/>
          <cell r="M14"/>
          <cell r="N14">
            <v>28648.40668762504</v>
          </cell>
          <cell r="O14">
            <v>57296.813375250073</v>
          </cell>
          <cell r="P14">
            <v>343780.88025150041</v>
          </cell>
        </row>
        <row r="15">
          <cell r="A15" t="str">
            <v>James Martz</v>
          </cell>
          <cell r="B15">
            <v>445916.9</v>
          </cell>
          <cell r="C15">
            <v>821695.27994750871</v>
          </cell>
          <cell r="D15">
            <v>520739.36246613337</v>
          </cell>
          <cell r="E15"/>
          <cell r="F15"/>
          <cell r="G15"/>
          <cell r="H15"/>
          <cell r="I15"/>
          <cell r="J15"/>
          <cell r="K15"/>
          <cell r="L15"/>
          <cell r="M15"/>
          <cell r="N15">
            <v>894175.77120682097</v>
          </cell>
          <cell r="O15">
            <v>1788351.5424136401</v>
          </cell>
          <cell r="P15">
            <v>10730109.2544819</v>
          </cell>
        </row>
        <row r="16">
          <cell r="A16" t="str">
            <v>Jericho Griffith</v>
          </cell>
          <cell r="B16">
            <v>514409.6</v>
          </cell>
          <cell r="C16">
            <v>745682.13775364403</v>
          </cell>
          <cell r="D16">
            <v>93118.019434124057</v>
          </cell>
          <cell r="E16"/>
          <cell r="F16"/>
          <cell r="G16"/>
          <cell r="H16"/>
          <cell r="I16"/>
          <cell r="J16"/>
          <cell r="K16"/>
          <cell r="L16"/>
          <cell r="M16"/>
          <cell r="N16">
            <v>676604.87859388406</v>
          </cell>
          <cell r="O16">
            <v>1353209.75718777</v>
          </cell>
          <cell r="P16">
            <v>8119258.5431266101</v>
          </cell>
        </row>
        <row r="17">
          <cell r="A17" t="str">
            <v>John Wyshak</v>
          </cell>
          <cell r="B17">
            <v>322192.59000000003</v>
          </cell>
          <cell r="C17">
            <v>149203.0723063733</v>
          </cell>
          <cell r="D17">
            <v>93165.790225778779</v>
          </cell>
          <cell r="E17"/>
          <cell r="F17"/>
          <cell r="G17"/>
          <cell r="H17"/>
          <cell r="I17"/>
          <cell r="J17"/>
          <cell r="K17"/>
          <cell r="L17"/>
          <cell r="M17"/>
          <cell r="N17">
            <v>282280.72626607609</v>
          </cell>
          <cell r="O17">
            <v>564561.45253215218</v>
          </cell>
          <cell r="P17">
            <v>3387368.7151929098</v>
          </cell>
        </row>
        <row r="18">
          <cell r="A18" t="str">
            <v>Katharine Boston</v>
          </cell>
          <cell r="B18">
            <v>74616.460000000006</v>
          </cell>
          <cell r="C18">
            <v>118972.5403320949</v>
          </cell>
          <cell r="D18">
            <v>22907.70458759645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>
            <v>108248.3524598457</v>
          </cell>
          <cell r="O18">
            <v>216496.70491969131</v>
          </cell>
          <cell r="P18">
            <v>1298980.22951815</v>
          </cell>
        </row>
        <row r="19">
          <cell r="A19" t="str">
            <v>Ken John</v>
          </cell>
          <cell r="B19">
            <v>2331467.23</v>
          </cell>
          <cell r="C19">
            <v>1296630.5053338101</v>
          </cell>
          <cell r="D19">
            <v>792401.35753072298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>
            <v>2210249.5464322702</v>
          </cell>
          <cell r="O19">
            <v>4420499.0928645302</v>
          </cell>
          <cell r="P19">
            <v>26522994.5571872</v>
          </cell>
        </row>
        <row r="20">
          <cell r="A20" t="str">
            <v>Nick Belvis</v>
          </cell>
          <cell r="B20"/>
          <cell r="C20">
            <v>0</v>
          </cell>
          <cell r="D20">
            <v>134143.46956273229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>
            <v>67071.734781366147</v>
          </cell>
          <cell r="O20">
            <v>134143.46956273229</v>
          </cell>
          <cell r="P20">
            <v>804860.81737639382</v>
          </cell>
        </row>
        <row r="21">
          <cell r="A21" t="str">
            <v>Oliver Moseby</v>
          </cell>
          <cell r="B21">
            <v>968775.94</v>
          </cell>
          <cell r="C21">
            <v>729609.67419262649</v>
          </cell>
          <cell r="D21">
            <v>196799.75231018389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>
            <v>947592.68325140513</v>
          </cell>
          <cell r="O21">
            <v>1895185.36650281</v>
          </cell>
          <cell r="P21">
            <v>11371112.199016901</v>
          </cell>
        </row>
        <row r="22">
          <cell r="A22" t="str">
            <v>Reginald Davis</v>
          </cell>
          <cell r="B22">
            <v>256551.04000000001</v>
          </cell>
          <cell r="C22">
            <v>195769.7627893684</v>
          </cell>
          <cell r="D22">
            <v>96956.044584166899</v>
          </cell>
          <cell r="E22"/>
          <cell r="F22"/>
          <cell r="G22"/>
          <cell r="H22"/>
          <cell r="I22"/>
          <cell r="J22"/>
          <cell r="K22"/>
          <cell r="L22"/>
          <cell r="M22"/>
          <cell r="N22">
            <v>274638.42368676758</v>
          </cell>
          <cell r="O22">
            <v>549276.84737353527</v>
          </cell>
          <cell r="P22">
            <v>3295661.08424121</v>
          </cell>
        </row>
        <row r="23">
          <cell r="A23" t="str">
            <v>Ryan Morris</v>
          </cell>
          <cell r="B23"/>
          <cell r="C23">
            <v>19959.316947699339</v>
          </cell>
          <cell r="D23">
            <v>62219.677050585888</v>
          </cell>
          <cell r="E23"/>
          <cell r="F23"/>
          <cell r="G23"/>
          <cell r="H23"/>
          <cell r="I23"/>
          <cell r="J23"/>
          <cell r="K23"/>
          <cell r="L23"/>
          <cell r="M23"/>
          <cell r="N23">
            <v>41089.496999142611</v>
          </cell>
          <cell r="O23">
            <v>82178.993998285223</v>
          </cell>
          <cell r="P23">
            <v>493073.96398971131</v>
          </cell>
        </row>
        <row r="24">
          <cell r="A24" t="str">
            <v>Ryan Mullen</v>
          </cell>
          <cell r="B24">
            <v>1331570.8999999999</v>
          </cell>
          <cell r="C24">
            <v>1075897.30118062</v>
          </cell>
          <cell r="D24">
            <v>613811.57473563869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>
            <v>1510639.8879581301</v>
          </cell>
          <cell r="O24">
            <v>3021279.7759162602</v>
          </cell>
          <cell r="P24">
            <v>18127678.655497499</v>
          </cell>
        </row>
        <row r="25">
          <cell r="A25" t="str">
            <v>Sal Obando</v>
          </cell>
          <cell r="B25">
            <v>168894.74</v>
          </cell>
          <cell r="C25">
            <v>267368.13851576642</v>
          </cell>
          <cell r="D25">
            <v>189558.8882537868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>
            <v>312910.88338477648</v>
          </cell>
          <cell r="O25">
            <v>625821.76676955319</v>
          </cell>
          <cell r="P25">
            <v>3754930.6006173198</v>
          </cell>
        </row>
        <row r="26">
          <cell r="A26" t="str">
            <v>Sean Porrazzo</v>
          </cell>
          <cell r="B26">
            <v>3803.13</v>
          </cell>
          <cell r="C26">
            <v>10245.3701057445</v>
          </cell>
          <cell r="D26">
            <v>133524.749928551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>
            <v>73786.625017147744</v>
          </cell>
          <cell r="O26">
            <v>147573.25003429549</v>
          </cell>
          <cell r="P26">
            <v>885439.50020577305</v>
          </cell>
        </row>
        <row r="27">
          <cell r="A27" t="str">
            <v>Shelly Barba</v>
          </cell>
          <cell r="B27">
            <v>1053322.24</v>
          </cell>
          <cell r="C27">
            <v>1577462.2109008301</v>
          </cell>
          <cell r="D27">
            <v>380344.47937505943</v>
          </cell>
          <cell r="E27"/>
          <cell r="F27"/>
          <cell r="G27"/>
          <cell r="H27"/>
          <cell r="I27"/>
          <cell r="J27"/>
          <cell r="K27"/>
          <cell r="L27"/>
          <cell r="M27"/>
          <cell r="N27">
            <v>1505564.4651379399</v>
          </cell>
          <cell r="O27">
            <v>3011128.93027589</v>
          </cell>
          <cell r="P27">
            <v>18066773.581655301</v>
          </cell>
        </row>
        <row r="28">
          <cell r="A28" t="str">
            <v>Shirley Reagan</v>
          </cell>
          <cell r="B28"/>
          <cell r="C28">
            <v>352147.10289797082</v>
          </cell>
          <cell r="D28">
            <v>602359.70649899961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>
            <v>477253.40469848522</v>
          </cell>
          <cell r="O28">
            <v>954506.80939697044</v>
          </cell>
          <cell r="P28">
            <v>5727040.8563818196</v>
          </cell>
        </row>
        <row r="29">
          <cell r="A29" t="str">
            <v>Tanner Brooks</v>
          </cell>
          <cell r="B29">
            <v>13927.04</v>
          </cell>
          <cell r="C29">
            <v>25478.65104315518</v>
          </cell>
          <cell r="D29">
            <v>64627.665047156333</v>
          </cell>
          <cell r="E29"/>
          <cell r="F29"/>
          <cell r="G29"/>
          <cell r="H29"/>
          <cell r="I29"/>
          <cell r="J29"/>
          <cell r="K29"/>
          <cell r="L29"/>
          <cell r="M29"/>
          <cell r="N29">
            <v>52016.678045155757</v>
          </cell>
          <cell r="O29">
            <v>104033.3560903115</v>
          </cell>
          <cell r="P29">
            <v>624200.13654186903</v>
          </cell>
        </row>
        <row r="30">
          <cell r="A30" t="str">
            <v>Zackary Powers</v>
          </cell>
          <cell r="B30">
            <v>380739.23</v>
          </cell>
          <cell r="C30">
            <v>269705.67304944259</v>
          </cell>
          <cell r="D30">
            <v>78505.344384109747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>
            <v>364475.12371677608</v>
          </cell>
          <cell r="O30">
            <v>728950.24743355229</v>
          </cell>
          <cell r="P30">
            <v>4373701.4846013105</v>
          </cell>
        </row>
        <row r="32">
          <cell r="A32" t="str">
            <v>Company Total</v>
          </cell>
          <cell r="B32">
            <v>13644901.060000001</v>
          </cell>
          <cell r="C32">
            <v>15662894.263404701</v>
          </cell>
          <cell r="D32">
            <v>7244075.1642820798</v>
          </cell>
          <cell r="N32">
            <v>12183956.8292289</v>
          </cell>
          <cell r="O32">
            <v>36551870.487686798</v>
          </cell>
          <cell r="P32">
            <v>146207481.95074701</v>
          </cell>
        </row>
      </sheetData>
      <sheetData sheetId="6">
        <row r="1">
          <cell r="A1">
            <v>2025</v>
          </cell>
          <cell r="B1" t="str">
            <v>January</v>
          </cell>
          <cell r="C1" t="str">
            <v>February</v>
          </cell>
          <cell r="D1" t="str">
            <v>March</v>
          </cell>
          <cell r="E1" t="str">
            <v>April</v>
          </cell>
          <cell r="F1" t="str">
            <v>May</v>
          </cell>
          <cell r="G1" t="str">
            <v>June</v>
          </cell>
          <cell r="H1" t="str">
            <v>July</v>
          </cell>
          <cell r="I1" t="str">
            <v>August</v>
          </cell>
          <cell r="J1" t="str">
            <v>September</v>
          </cell>
          <cell r="K1" t="str">
            <v>October</v>
          </cell>
          <cell r="L1" t="str">
            <v>November</v>
          </cell>
          <cell r="M1" t="str">
            <v>December</v>
          </cell>
          <cell r="N1" t="str">
            <v>Monthly Average</v>
          </cell>
          <cell r="O1" t="e">
            <v>#REF!</v>
          </cell>
          <cell r="P1" t="str">
            <v>Year End Projection</v>
          </cell>
        </row>
        <row r="2">
          <cell r="A2" t="str">
            <v>Aaron Crossman</v>
          </cell>
          <cell r="B2">
            <v>97976.79</v>
          </cell>
          <cell r="C2">
            <v>809385.54249262321</v>
          </cell>
          <cell r="D2">
            <v>2556404.7886971701</v>
          </cell>
          <cell r="E2">
            <v>3651059.2728062002</v>
          </cell>
          <cell r="F2">
            <v>2565535.0066276598</v>
          </cell>
          <cell r="G2">
            <v>2413888.6064852802</v>
          </cell>
          <cell r="H2">
            <v>2868444.5823538201</v>
          </cell>
          <cell r="I2">
            <v>394214.83280937409</v>
          </cell>
          <cell r="J2">
            <v>1560890.0685910301</v>
          </cell>
          <cell r="K2">
            <v>3766877.4309681798</v>
          </cell>
          <cell r="L2">
            <v>2674291.7921102201</v>
          </cell>
          <cell r="M2">
            <v>237412.13</v>
          </cell>
          <cell r="N2">
            <v>1966365.0703284601</v>
          </cell>
          <cell r="O2">
            <v>23596380.843941599</v>
          </cell>
          <cell r="P2">
            <v>23596380.843941599</v>
          </cell>
        </row>
        <row r="3">
          <cell r="A3" t="str">
            <v>Alana Pirrello</v>
          </cell>
          <cell r="B3">
            <v>25906.21405351338</v>
          </cell>
          <cell r="C3">
            <v>59352.71317829458</v>
          </cell>
          <cell r="D3">
            <v>69294.861215303827</v>
          </cell>
          <cell r="E3">
            <v>613458.68515928986</v>
          </cell>
          <cell r="F3">
            <v>515877.71942985751</v>
          </cell>
          <cell r="G3">
            <v>112898.1994855673</v>
          </cell>
          <cell r="H3">
            <v>625676.55044298375</v>
          </cell>
          <cell r="I3">
            <v>177714.1192026294</v>
          </cell>
          <cell r="J3">
            <v>370411.95806516142</v>
          </cell>
          <cell r="K3">
            <v>71009.131180337194</v>
          </cell>
          <cell r="L3">
            <v>899269.97237305902</v>
          </cell>
          <cell r="M3">
            <v>186277.71</v>
          </cell>
          <cell r="N3">
            <v>310595.65281549981</v>
          </cell>
          <cell r="O3">
            <v>3727147.833786</v>
          </cell>
          <cell r="P3">
            <v>3727147.833786</v>
          </cell>
        </row>
        <row r="4">
          <cell r="A4" t="str">
            <v>Alex Kanish</v>
          </cell>
          <cell r="B4">
            <v>0</v>
          </cell>
          <cell r="C4">
            <v>0</v>
          </cell>
          <cell r="D4">
            <v>0</v>
          </cell>
          <cell r="E4">
            <v>68240.16004001</v>
          </cell>
          <cell r="F4">
            <v>153355.6264066016</v>
          </cell>
          <cell r="G4">
            <v>221165.24721348961</v>
          </cell>
          <cell r="H4">
            <v>98449.671334667044</v>
          </cell>
          <cell r="I4">
            <v>47653.715347242069</v>
          </cell>
          <cell r="J4">
            <v>47804.858531008853</v>
          </cell>
          <cell r="K4">
            <v>49328.993998285223</v>
          </cell>
          <cell r="L4">
            <v>392395.29389349342</v>
          </cell>
          <cell r="M4">
            <v>103931.34</v>
          </cell>
          <cell r="N4">
            <v>131369.43408497749</v>
          </cell>
          <cell r="O4">
            <v>1182324.9067648</v>
          </cell>
          <cell r="P4">
            <v>1576433.2090197301</v>
          </cell>
        </row>
        <row r="5">
          <cell r="A5" t="str">
            <v>Angie Richards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118116.77622177771</v>
          </cell>
          <cell r="L5">
            <v>0</v>
          </cell>
          <cell r="M5">
            <v>77308.070000000007</v>
          </cell>
          <cell r="N5">
            <v>48856.21155544441</v>
          </cell>
          <cell r="O5">
            <v>195424.8462217777</v>
          </cell>
          <cell r="P5">
            <v>586274.53866533295</v>
          </cell>
        </row>
        <row r="6">
          <cell r="A6" t="str">
            <v>Ben Volotzky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17703.000857387829</v>
          </cell>
          <cell r="J6">
            <v>161416.647613604</v>
          </cell>
          <cell r="K6">
            <v>379932.90396046499</v>
          </cell>
          <cell r="L6">
            <v>530024.84782899846</v>
          </cell>
          <cell r="M6">
            <v>422460.31</v>
          </cell>
          <cell r="N6">
            <v>302307.54205209098</v>
          </cell>
          <cell r="O6">
            <v>1511537.7102604599</v>
          </cell>
          <cell r="P6">
            <v>3627690.5046250899</v>
          </cell>
        </row>
        <row r="7">
          <cell r="A7" t="str">
            <v>Beverly Danes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275565.19005430117</v>
          </cell>
          <cell r="L7">
            <v>34340.540154329799</v>
          </cell>
          <cell r="M7">
            <v>9662.1299999999992</v>
          </cell>
          <cell r="N7">
            <v>79891.965052157757</v>
          </cell>
          <cell r="O7">
            <v>319567.86020863103</v>
          </cell>
          <cell r="P7">
            <v>958703.58062589297</v>
          </cell>
        </row>
        <row r="8">
          <cell r="A8" t="str">
            <v>Brandon Duplessie</v>
          </cell>
          <cell r="B8">
            <v>163746.82</v>
          </cell>
          <cell r="C8">
            <v>279500.67127481871</v>
          </cell>
          <cell r="D8">
            <v>814877.58189547411</v>
          </cell>
          <cell r="E8">
            <v>601869.23665949795</v>
          </cell>
          <cell r="F8">
            <v>654974.90622655675</v>
          </cell>
          <cell r="G8">
            <v>136411.98131413391</v>
          </cell>
          <cell r="H8">
            <v>42399.899971420411</v>
          </cell>
          <cell r="I8">
            <v>169353.65630322951</v>
          </cell>
          <cell r="J8">
            <v>881593.48634181183</v>
          </cell>
          <cell r="K8">
            <v>368493.88396684767</v>
          </cell>
          <cell r="L8">
            <v>426092.86939125462</v>
          </cell>
          <cell r="M8">
            <v>227340.98</v>
          </cell>
          <cell r="N8">
            <v>397221.33111208718</v>
          </cell>
          <cell r="O8">
            <v>4766655.9733450497</v>
          </cell>
          <cell r="P8">
            <v>4766655.9733450497</v>
          </cell>
        </row>
        <row r="9">
          <cell r="A9" t="str">
            <v>Brittany Durroh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7208.4166904829963</v>
          </cell>
          <cell r="M9">
            <v>21503.24</v>
          </cell>
          <cell r="N9">
            <v>7177.9141726207499</v>
          </cell>
          <cell r="O9">
            <v>28711.656690483</v>
          </cell>
          <cell r="P9">
            <v>86134.970071448988</v>
          </cell>
        </row>
        <row r="10">
          <cell r="A10" t="str">
            <v>Caleb Brown</v>
          </cell>
          <cell r="B10">
            <v>0</v>
          </cell>
          <cell r="C10">
            <v>0</v>
          </cell>
          <cell r="D10">
            <v>145258.12703175799</v>
          </cell>
          <cell r="E10">
            <v>254639.59739934999</v>
          </cell>
          <cell r="F10">
            <v>1351186.7841960499</v>
          </cell>
          <cell r="G10">
            <v>864274.71556014183</v>
          </cell>
          <cell r="H10">
            <v>185331.70905973131</v>
          </cell>
          <cell r="I10">
            <v>228882.3521006002</v>
          </cell>
          <cell r="J10">
            <v>152546.38468133751</v>
          </cell>
          <cell r="K10">
            <v>1304981.35589911</v>
          </cell>
          <cell r="L10">
            <v>629578.44280461082</v>
          </cell>
          <cell r="M10">
            <v>479824.56</v>
          </cell>
          <cell r="N10">
            <v>559650.40287326917</v>
          </cell>
          <cell r="O10">
            <v>5596504.02873269</v>
          </cell>
          <cell r="P10">
            <v>6715804.8344792305</v>
          </cell>
        </row>
        <row r="11">
          <cell r="A11" t="str">
            <v>Carson Goodwin</v>
          </cell>
          <cell r="B11">
            <v>29877.73</v>
          </cell>
          <cell r="C11">
            <v>362101.3128282071</v>
          </cell>
          <cell r="D11">
            <v>417429.50737684418</v>
          </cell>
          <cell r="E11">
            <v>32369.829957489379</v>
          </cell>
          <cell r="F11">
            <v>249792.12303075771</v>
          </cell>
          <cell r="G11">
            <v>10571.32037725064</v>
          </cell>
          <cell r="H11">
            <v>155667.91940554441</v>
          </cell>
          <cell r="I11">
            <v>77592.440697342114</v>
          </cell>
          <cell r="J11">
            <v>1463424.3523035201</v>
          </cell>
          <cell r="K11">
            <v>337941.29751357518</v>
          </cell>
          <cell r="L11">
            <v>20890.068591026011</v>
          </cell>
          <cell r="M11">
            <v>140248.06</v>
          </cell>
          <cell r="N11">
            <v>274825.49684012932</v>
          </cell>
          <cell r="O11">
            <v>3297905.9620815502</v>
          </cell>
          <cell r="P11">
            <v>3297905.9620815502</v>
          </cell>
        </row>
        <row r="12">
          <cell r="A12" t="str">
            <v>Chad Keene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174834.50985996</v>
          </cell>
          <cell r="L12">
            <v>180573.80755787369</v>
          </cell>
          <cell r="M12">
            <v>55578.87</v>
          </cell>
          <cell r="N12">
            <v>102746.7968544584</v>
          </cell>
          <cell r="O12">
            <v>410987.18741783372</v>
          </cell>
          <cell r="P12">
            <v>1232961.5622535001</v>
          </cell>
        </row>
        <row r="13">
          <cell r="A13" t="str">
            <v>Dave Wright</v>
          </cell>
          <cell r="B13">
            <v>230101.61290322579</v>
          </cell>
          <cell r="C13">
            <v>224376.11902975739</v>
          </cell>
          <cell r="D13">
            <v>67587.984496124031</v>
          </cell>
          <cell r="E13">
            <v>597535.20880220062</v>
          </cell>
          <cell r="F13">
            <v>16312.565641410351</v>
          </cell>
          <cell r="G13">
            <v>41215.042609888522</v>
          </cell>
          <cell r="H13">
            <v>77828.379537010565</v>
          </cell>
          <cell r="I13">
            <v>78603.585352957976</v>
          </cell>
          <cell r="J13">
            <v>96819.691340382982</v>
          </cell>
          <cell r="K13">
            <v>39867.26683814422</v>
          </cell>
          <cell r="L13">
            <v>245296.99628436699</v>
          </cell>
          <cell r="M13">
            <v>205007.96</v>
          </cell>
          <cell r="N13">
            <v>160046.03440295579</v>
          </cell>
          <cell r="O13">
            <v>1920552.4128354699</v>
          </cell>
          <cell r="P13">
            <v>1920552.4128354699</v>
          </cell>
        </row>
        <row r="14">
          <cell r="A14" t="str">
            <v>David Matthews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10721.577593598169</v>
          </cell>
          <cell r="K14">
            <v>0</v>
          </cell>
          <cell r="L14">
            <v>0</v>
          </cell>
          <cell r="M14">
            <v>12647.48</v>
          </cell>
          <cell r="N14">
            <v>5842.2643983995422</v>
          </cell>
          <cell r="O14">
            <v>23369.057593598169</v>
          </cell>
          <cell r="P14">
            <v>70107.172780794499</v>
          </cell>
        </row>
        <row r="15">
          <cell r="A15" t="str">
            <v>Donovan Wilson</v>
          </cell>
          <cell r="B15">
            <v>202995.72</v>
          </cell>
          <cell r="C15">
            <v>224177.9319829958</v>
          </cell>
          <cell r="D15">
            <v>244617.00425106281</v>
          </cell>
          <cell r="E15">
            <v>130259.6634328582</v>
          </cell>
          <cell r="F15">
            <v>254569.59239809951</v>
          </cell>
          <cell r="G15">
            <v>210802.3863961132</v>
          </cell>
          <cell r="H15">
            <v>208712.9894255501</v>
          </cell>
          <cell r="I15">
            <v>150666.71906258931</v>
          </cell>
          <cell r="J15">
            <v>698097.79937124904</v>
          </cell>
          <cell r="K15">
            <v>241671.43469562731</v>
          </cell>
          <cell r="L15">
            <v>85973.978279508447</v>
          </cell>
          <cell r="M15">
            <v>79868.62</v>
          </cell>
          <cell r="N15">
            <v>227701.15327463791</v>
          </cell>
          <cell r="O15">
            <v>2732413.8392956499</v>
          </cell>
          <cell r="P15">
            <v>2732413.8392956499</v>
          </cell>
        </row>
        <row r="16">
          <cell r="A16" t="str">
            <v>James Martz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9696.7276364675636</v>
          </cell>
          <cell r="H16">
            <v>195846.32752214919</v>
          </cell>
          <cell r="I16">
            <v>208593.91327236351</v>
          </cell>
          <cell r="J16">
            <v>674188.34122463537</v>
          </cell>
          <cell r="K16">
            <v>481102.28636753361</v>
          </cell>
          <cell r="L16">
            <v>497886.10079070221</v>
          </cell>
          <cell r="M16">
            <v>368439.55</v>
          </cell>
          <cell r="N16">
            <v>347964.74954483588</v>
          </cell>
          <cell r="O16">
            <v>2435753.24681385</v>
          </cell>
          <cell r="P16">
            <v>4175576.9945380301</v>
          </cell>
        </row>
        <row r="17">
          <cell r="A17" t="str">
            <v>Jericho Griffith</v>
          </cell>
          <cell r="B17">
            <v>310039.67</v>
          </cell>
          <cell r="C17">
            <v>556354.03850962745</v>
          </cell>
          <cell r="D17">
            <v>240774.06851712929</v>
          </cell>
          <cell r="E17">
            <v>53175.193798449618</v>
          </cell>
          <cell r="F17">
            <v>97287.271817954505</v>
          </cell>
          <cell r="G17">
            <v>65117.976564732788</v>
          </cell>
          <cell r="H17">
            <v>99857.730780222933</v>
          </cell>
          <cell r="I17">
            <v>120195.1130065733</v>
          </cell>
          <cell r="J17">
            <v>85563.73</v>
          </cell>
          <cell r="K17">
            <v>213366.1046013147</v>
          </cell>
          <cell r="L17">
            <v>498364.46127464989</v>
          </cell>
          <cell r="M17">
            <v>131053.69</v>
          </cell>
          <cell r="N17">
            <v>205929.0874058879</v>
          </cell>
          <cell r="O17">
            <v>2471149.0488706501</v>
          </cell>
          <cell r="P17">
            <v>2471149.0488706501</v>
          </cell>
        </row>
        <row r="18">
          <cell r="A18" t="str">
            <v>John Wyshak</v>
          </cell>
          <cell r="B18">
            <v>0</v>
          </cell>
          <cell r="C18">
            <v>77522.143035758942</v>
          </cell>
          <cell r="D18">
            <v>179850.02500625161</v>
          </cell>
          <cell r="E18">
            <v>40703.150787696919</v>
          </cell>
          <cell r="F18">
            <v>57886.4591147787</v>
          </cell>
          <cell r="G18">
            <v>233931.29465561599</v>
          </cell>
          <cell r="H18">
            <v>104523.563875393</v>
          </cell>
          <cell r="I18">
            <v>150881.75081594739</v>
          </cell>
          <cell r="J18">
            <v>61288.35381537582</v>
          </cell>
          <cell r="K18">
            <v>122371.62046298941</v>
          </cell>
          <cell r="L18">
            <v>174117.59074021151</v>
          </cell>
          <cell r="M18">
            <v>129240.34</v>
          </cell>
          <cell r="N18">
            <v>121119.66293727449</v>
          </cell>
          <cell r="O18">
            <v>1332316.29231002</v>
          </cell>
          <cell r="P18">
            <v>1453435.95524729</v>
          </cell>
        </row>
        <row r="19">
          <cell r="A19" t="str">
            <v>Katharine Boston</v>
          </cell>
          <cell r="B19">
            <v>0</v>
          </cell>
          <cell r="C19">
            <v>0</v>
          </cell>
          <cell r="D19">
            <v>4622.9057264316098</v>
          </cell>
          <cell r="E19">
            <v>628358.20205051266</v>
          </cell>
          <cell r="F19">
            <v>100267.4897484371</v>
          </cell>
          <cell r="G19">
            <v>278333.77906851668</v>
          </cell>
          <cell r="H19">
            <v>1301174.99104201</v>
          </cell>
          <cell r="I19">
            <v>62495.198628179482</v>
          </cell>
          <cell r="J19">
            <v>2857.9451271791932</v>
          </cell>
          <cell r="K19">
            <v>0</v>
          </cell>
          <cell r="L19">
            <v>65069.388566638059</v>
          </cell>
          <cell r="M19">
            <v>66458.73</v>
          </cell>
          <cell r="N19">
            <v>250963.8629957907</v>
          </cell>
          <cell r="O19">
            <v>2509638.6299579102</v>
          </cell>
          <cell r="P19">
            <v>3011566.3559494899</v>
          </cell>
        </row>
        <row r="20">
          <cell r="A20" t="str">
            <v>Ken John</v>
          </cell>
          <cell r="B20">
            <v>533028.11</v>
          </cell>
          <cell r="C20">
            <v>1345761.41535384</v>
          </cell>
          <cell r="D20">
            <v>797063.79094773706</v>
          </cell>
          <cell r="E20">
            <v>1625232.8457114301</v>
          </cell>
          <cell r="F20">
            <v>647345.54676269065</v>
          </cell>
          <cell r="G20">
            <v>897454.72376596578</v>
          </cell>
          <cell r="H20">
            <v>638664.87386567576</v>
          </cell>
          <cell r="I20">
            <v>503919.2636467563</v>
          </cell>
          <cell r="J20">
            <v>670509.76492826524</v>
          </cell>
          <cell r="K20">
            <v>799869.40554444108</v>
          </cell>
          <cell r="L20">
            <v>565306.86386586644</v>
          </cell>
          <cell r="M20">
            <v>906308.45</v>
          </cell>
          <cell r="N20">
            <v>827538.75453272229</v>
          </cell>
          <cell r="O20">
            <v>9930465.0543926693</v>
          </cell>
          <cell r="P20">
            <v>9930465.0543926693</v>
          </cell>
        </row>
        <row r="21">
          <cell r="A21" t="str">
            <v>Oliver Moseby</v>
          </cell>
          <cell r="B21">
            <v>115845.32</v>
          </cell>
          <cell r="C21">
            <v>448303.75954688672</v>
          </cell>
          <cell r="D21">
            <v>279723.49337334331</v>
          </cell>
          <cell r="E21">
            <v>122121.3928482121</v>
          </cell>
          <cell r="F21">
            <v>342418.24206051521</v>
          </cell>
          <cell r="G21">
            <v>236534.07497586799</v>
          </cell>
          <cell r="H21">
            <v>252217.14775650189</v>
          </cell>
          <cell r="I21">
            <v>57913.160903115167</v>
          </cell>
          <cell r="J21">
            <v>486808.79571706202</v>
          </cell>
          <cell r="K21">
            <v>453286.46756216051</v>
          </cell>
          <cell r="L21">
            <v>803882.70458226162</v>
          </cell>
          <cell r="M21">
            <v>819959.13</v>
          </cell>
          <cell r="N21">
            <v>368251.14077716059</v>
          </cell>
          <cell r="O21">
            <v>4419013.6893259296</v>
          </cell>
          <cell r="P21">
            <v>4419013.6893259296</v>
          </cell>
        </row>
        <row r="22">
          <cell r="A22" t="str">
            <v>Reginald Davis</v>
          </cell>
          <cell r="B22">
            <v>0</v>
          </cell>
          <cell r="C22">
            <v>4389.9849962490616</v>
          </cell>
          <cell r="D22">
            <v>69717.491872968239</v>
          </cell>
          <cell r="E22">
            <v>64869.517379344841</v>
          </cell>
          <cell r="F22">
            <v>101447.5118779695</v>
          </cell>
          <cell r="G22">
            <v>38872.977993712477</v>
          </cell>
          <cell r="H22">
            <v>57030.351529008272</v>
          </cell>
          <cell r="I22">
            <v>21523.163761074589</v>
          </cell>
          <cell r="J22">
            <v>139771.98519977141</v>
          </cell>
          <cell r="K22">
            <v>109653.87253501</v>
          </cell>
          <cell r="L22">
            <v>316821.72049156902</v>
          </cell>
          <cell r="M22">
            <v>256184.01</v>
          </cell>
          <cell r="N22">
            <v>107298.41705787971</v>
          </cell>
          <cell r="O22">
            <v>1180282.5876366801</v>
          </cell>
          <cell r="P22">
            <v>1287581.0046945601</v>
          </cell>
        </row>
        <row r="23">
          <cell r="A23" t="str">
            <v>Ryan Morris</v>
          </cell>
          <cell r="B23">
            <v>337786.55</v>
          </cell>
          <cell r="C23">
            <v>642445.94898724684</v>
          </cell>
          <cell r="D23">
            <v>366561.11527881969</v>
          </cell>
          <cell r="E23">
            <v>291742.07301825442</v>
          </cell>
          <cell r="F23">
            <v>513882.40810202551</v>
          </cell>
          <cell r="G23">
            <v>129282.0688560251</v>
          </cell>
          <cell r="H23">
            <v>299281.06601886248</v>
          </cell>
          <cell r="I23">
            <v>218157.95941697629</v>
          </cell>
          <cell r="J23">
            <v>687818.56414547015</v>
          </cell>
          <cell r="K23">
            <v>661358.10231494729</v>
          </cell>
          <cell r="L23">
            <v>276343.86967705068</v>
          </cell>
          <cell r="M23">
            <v>179685.54</v>
          </cell>
          <cell r="N23">
            <v>383695.43881797307</v>
          </cell>
          <cell r="O23">
            <v>4604345.2658156799</v>
          </cell>
          <cell r="P23">
            <v>4604345.2658156799</v>
          </cell>
        </row>
        <row r="24">
          <cell r="A24" t="str">
            <v>Ryan Mullen</v>
          </cell>
          <cell r="B24">
            <v>267162.71567891969</v>
          </cell>
          <cell r="C24">
            <v>323947.28682170541</v>
          </cell>
          <cell r="D24">
            <v>720490.29757439368</v>
          </cell>
          <cell r="E24">
            <v>162465.73578427939</v>
          </cell>
          <cell r="F24">
            <v>127414.35358839711</v>
          </cell>
          <cell r="G24">
            <v>1361730.2515004301</v>
          </cell>
          <cell r="H24">
            <v>384353.35810231499</v>
          </cell>
          <cell r="I24">
            <v>442481.0934852814</v>
          </cell>
          <cell r="J24">
            <v>1505563.53243784</v>
          </cell>
          <cell r="K24">
            <v>1249531.76621892</v>
          </cell>
          <cell r="L24">
            <v>580877.67056635232</v>
          </cell>
          <cell r="M24">
            <v>65591.78</v>
          </cell>
          <cell r="N24">
            <v>599300.8201465694</v>
          </cell>
          <cell r="O24">
            <v>7191609.8417588295</v>
          </cell>
          <cell r="P24">
            <v>7191609.8417588295</v>
          </cell>
        </row>
        <row r="25">
          <cell r="A25" t="str">
            <v>Sal Obando</v>
          </cell>
          <cell r="B25">
            <v>228779.92414770371</v>
          </cell>
          <cell r="C25">
            <v>219839.1707450196</v>
          </cell>
          <cell r="D25">
            <v>100700.8446366592</v>
          </cell>
          <cell r="E25">
            <v>381841.28532133042</v>
          </cell>
          <cell r="F25">
            <v>14780.17004251063</v>
          </cell>
          <cell r="G25">
            <v>61576.736210345822</v>
          </cell>
          <cell r="H25">
            <v>486627.52214918548</v>
          </cell>
          <cell r="I25">
            <v>193876.1931980566</v>
          </cell>
          <cell r="J25">
            <v>384232.85224349808</v>
          </cell>
          <cell r="K25">
            <v>122930.73735352961</v>
          </cell>
          <cell r="L25">
            <v>127997.7183957321</v>
          </cell>
          <cell r="M25">
            <v>270821.62</v>
          </cell>
          <cell r="N25">
            <v>216167.06453696429</v>
          </cell>
          <cell r="O25">
            <v>2594004.7744435701</v>
          </cell>
          <cell r="P25">
            <v>2594004.7744435701</v>
          </cell>
        </row>
        <row r="26">
          <cell r="A26" t="str">
            <v>Sean Porrazzo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12055.730208631039</v>
          </cell>
          <cell r="L26">
            <v>11677.022006287511</v>
          </cell>
          <cell r="M26">
            <v>16055.17</v>
          </cell>
          <cell r="N26">
            <v>9946.9805537296361</v>
          </cell>
          <cell r="O26">
            <v>39787.922214918537</v>
          </cell>
          <cell r="P26">
            <v>119363.7666447556</v>
          </cell>
        </row>
        <row r="27">
          <cell r="A27" t="str">
            <v>Shelly Barba</v>
          </cell>
          <cell r="B27">
            <v>91093.72</v>
          </cell>
          <cell r="C27">
            <v>366763.44086021511</v>
          </cell>
          <cell r="D27">
            <v>446390.88522130542</v>
          </cell>
          <cell r="E27">
            <v>231347.29932483131</v>
          </cell>
          <cell r="F27">
            <v>337809.38984746177</v>
          </cell>
          <cell r="G27">
            <v>300656.20177193492</v>
          </cell>
          <cell r="H27">
            <v>110090.8545298657</v>
          </cell>
          <cell r="I27">
            <v>523252.95871391828</v>
          </cell>
          <cell r="J27">
            <v>345668.73142897972</v>
          </cell>
          <cell r="K27">
            <v>989044.95570162905</v>
          </cell>
          <cell r="L27">
            <v>351385.23863961129</v>
          </cell>
          <cell r="M27">
            <v>391210.25</v>
          </cell>
          <cell r="N27">
            <v>373726.16050331283</v>
          </cell>
          <cell r="O27">
            <v>4484713.9260397498</v>
          </cell>
          <cell r="P27">
            <v>4484713.9260397498</v>
          </cell>
        </row>
        <row r="28">
          <cell r="A28" t="str">
            <v>Shirley Reagan</v>
          </cell>
          <cell r="B28">
            <v>568359.21</v>
          </cell>
          <cell r="C28">
            <v>1220902.0380094999</v>
          </cell>
          <cell r="D28">
            <v>932034.33358339581</v>
          </cell>
          <cell r="E28">
            <v>1637684.1165171301</v>
          </cell>
          <cell r="F28">
            <v>1226819.14228557</v>
          </cell>
          <cell r="G28">
            <v>761711.43438903464</v>
          </cell>
          <cell r="H28">
            <v>678522.49214061163</v>
          </cell>
          <cell r="I28">
            <v>609470.89168333798</v>
          </cell>
          <cell r="J28">
            <v>1170695.7862089199</v>
          </cell>
          <cell r="K28">
            <v>1353910.9888539601</v>
          </cell>
          <cell r="L28">
            <v>1013764.362002</v>
          </cell>
          <cell r="M28">
            <v>975002.47</v>
          </cell>
          <cell r="N28">
            <v>1015806.7996066801</v>
          </cell>
          <cell r="O28">
            <v>12148877.2656735</v>
          </cell>
          <cell r="P28">
            <v>12189681.5952801</v>
          </cell>
        </row>
        <row r="29">
          <cell r="A29" t="str">
            <v>Tanner Brooks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4777.0791654758495</v>
          </cell>
          <cell r="M29">
            <v>56409.8</v>
          </cell>
          <cell r="N29">
            <v>15296.71979136896</v>
          </cell>
          <cell r="O29">
            <v>61186.879165475853</v>
          </cell>
          <cell r="P29">
            <v>183560.6374964276</v>
          </cell>
        </row>
        <row r="30">
          <cell r="A30" t="str">
            <v>Zack Malal</v>
          </cell>
          <cell r="B30">
            <v>0</v>
          </cell>
          <cell r="C30">
            <v>0</v>
          </cell>
          <cell r="D30">
            <v>9941.0977744436132</v>
          </cell>
          <cell r="E30">
            <v>18648.645494707009</v>
          </cell>
          <cell r="F30">
            <v>36421.205301325339</v>
          </cell>
          <cell r="G30">
            <v>117354.9871391826</v>
          </cell>
          <cell r="H30">
            <v>40437.182052014861</v>
          </cell>
          <cell r="I30">
            <v>47284.736611889108</v>
          </cell>
          <cell r="J30">
            <v>84412.174907116336</v>
          </cell>
          <cell r="K30">
            <v>139275.2072020577</v>
          </cell>
          <cell r="L30">
            <v>188116.73335238639</v>
          </cell>
          <cell r="M30">
            <v>156428.01</v>
          </cell>
          <cell r="N30">
            <v>76210.90725773845</v>
          </cell>
          <cell r="O30">
            <v>838319.97983512306</v>
          </cell>
          <cell r="P30">
            <v>914530.88709286135</v>
          </cell>
        </row>
        <row r="32">
          <cell r="A32" t="str">
            <v>Total</v>
          </cell>
          <cell r="B32">
            <v>4535223.7471471997</v>
          </cell>
          <cell r="C32">
            <v>10001580.853891499</v>
          </cell>
          <cell r="D32">
            <v>9381480.6534398608</v>
          </cell>
          <cell r="E32">
            <v>11818822.1250463</v>
          </cell>
          <cell r="F32">
            <v>9438369.3109557405</v>
          </cell>
          <cell r="G32">
            <v>8572779.8973358497</v>
          </cell>
          <cell r="H32">
            <v>8992927.68818748</v>
          </cell>
          <cell r="I32">
            <v>4502429.8188768197</v>
          </cell>
          <cell r="J32">
            <v>11747435.2469211</v>
          </cell>
          <cell r="K32">
            <v>13838114.1019929</v>
          </cell>
          <cell r="L32">
            <v>11602325.550076</v>
          </cell>
          <cell r="M32">
            <v>7047920</v>
          </cell>
          <cell r="N32">
            <v>9289950.7494892199</v>
          </cell>
          <cell r="O32">
            <v>111479408.993871</v>
          </cell>
          <cell r="P32">
            <v>121107641.43696401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6rh_NviCEep2weRWKHQDw6-s9wRIi5Jnhu9sQyqwPbVopTKeNdfSpij7SYNYyOF" itemId="01XIJ3SI7ZCRRMIQVVNFBKQRMI2XKNG7U7">
      <xxl21:absoluteUrl r:id="rId2"/>
      <xxl21:relativeUrl r:id="rId3"/>
    </xxl21:alternateUrls>
    <sheetNames>
      <sheetName val="August Accrued"/>
      <sheetName val="July Accrued"/>
      <sheetName val="June Accrued"/>
      <sheetName val="Deal Trackers"/>
      <sheetName val="Sheet5"/>
      <sheetName val="Sheet1"/>
      <sheetName val="Sheet6"/>
      <sheetName val="Sheet7"/>
      <sheetName val="IRA Deal Tracker"/>
      <sheetName val="Cash Deal Tracker"/>
      <sheetName val="IRA Purchase Orders"/>
      <sheetName val="Cash Purchase Orders"/>
      <sheetName val="Accounting"/>
      <sheetName val="DO NOT EDIT! Upstate"/>
      <sheetName val="Calculation Sheets"/>
      <sheetName val="Pivot Tables For Leaderboard"/>
      <sheetName val="Pivot Tables For Leader Past Mo"/>
      <sheetName val="MOM Full Sales"/>
      <sheetName val="Reports"/>
      <sheetName val="Old"/>
      <sheetName val="Full Sales by Rep Cash - $ in"/>
      <sheetName val="Full Sales by Rep IRA"/>
      <sheetName val="Commission by Rep IRA"/>
      <sheetName val="Full Sales by Rep Total"/>
      <sheetName val="Rep First 90 Days"/>
      <sheetName val="Per Sales Rep Deal Reports old"/>
      <sheetName val="Per Sales Rep Deal Reports"/>
      <sheetName val="Commission by Rep Total"/>
      <sheetName val="New Commission Options"/>
      <sheetName val="Transformed Data"/>
      <sheetName val="Full Sales by Rep Cash (2)"/>
      <sheetName val="Full Sales by Rep IRA (2)"/>
      <sheetName val="DO NOT USE"/>
      <sheetName val="Sheet2"/>
      <sheetName val="Sheet3"/>
      <sheetName val="Sheet4"/>
      <sheetName val="Sheet9"/>
      <sheetName val="dont use"/>
      <sheetName val="Full Sales - 12 Month"/>
      <sheetName val="Full Sales Cash - 12 Month"/>
      <sheetName val="Full Sales IRA - 12 Month"/>
      <sheetName val="Deal Count"/>
      <sheetName val="Deal Count Cash"/>
      <sheetName val="Deal Count IRA"/>
      <sheetName val="Full Sales by Rep Cash"/>
      <sheetName val="Commissions by Rep Cash"/>
      <sheetName val="Full Sales by Rep IRA - Traded"/>
      <sheetName val="Commissions by Rep Cash - $ in"/>
      <sheetName val="Commissions by Rep IRA - Traded"/>
      <sheetName val="Time To Fund 2.0"/>
      <sheetName val="Time To Fund"/>
      <sheetName val="Average Spreads 2024"/>
      <sheetName val="Milestones"/>
      <sheetName val="Monthly Threshold"/>
      <sheetName val="Full Sales Total &amp; Bank"/>
      <sheetName val="Commissions by Rep Total"/>
      <sheetName val="1st 90 Days"/>
      <sheetName val="IRA Processing Times"/>
      <sheetName val="Sheet11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>
            <v>1453938.5110031399</v>
          </cell>
          <cell r="F5">
            <v>1747659.5</v>
          </cell>
          <cell r="H5">
            <v>11</v>
          </cell>
        </row>
        <row r="6">
          <cell r="C6">
            <v>63425.721634752786</v>
          </cell>
          <cell r="F6">
            <v>544083.5</v>
          </cell>
          <cell r="H6">
            <v>3.5</v>
          </cell>
        </row>
        <row r="7">
          <cell r="C7">
            <v>58797.67076307517</v>
          </cell>
          <cell r="F7">
            <v>110000</v>
          </cell>
          <cell r="H7">
            <v>2.5</v>
          </cell>
        </row>
        <row r="8">
          <cell r="C8">
            <v>0</v>
          </cell>
          <cell r="F8">
            <v>0</v>
          </cell>
          <cell r="H8">
            <v>0</v>
          </cell>
        </row>
        <row r="9">
          <cell r="C9">
            <v>55272.512190816429</v>
          </cell>
          <cell r="F9">
            <v>79052.66</v>
          </cell>
          <cell r="H9">
            <v>3.66</v>
          </cell>
        </row>
        <row r="10">
          <cell r="C10">
            <v>28326.964847099171</v>
          </cell>
          <cell r="F10">
            <v>153500</v>
          </cell>
          <cell r="H10">
            <v>2</v>
          </cell>
        </row>
        <row r="11">
          <cell r="C11">
            <v>55153.900703058003</v>
          </cell>
          <cell r="F11">
            <v>25000</v>
          </cell>
          <cell r="H11">
            <v>3.32</v>
          </cell>
        </row>
        <row r="12">
          <cell r="C12">
            <v>307143.46956273209</v>
          </cell>
          <cell r="F12">
            <v>702500</v>
          </cell>
          <cell r="H12">
            <v>6</v>
          </cell>
        </row>
        <row r="13">
          <cell r="C13">
            <v>70882.237782223499</v>
          </cell>
          <cell r="F13">
            <v>230500</v>
          </cell>
          <cell r="H13">
            <v>4.5</v>
          </cell>
        </row>
        <row r="14">
          <cell r="C14">
            <v>55398.956844812797</v>
          </cell>
          <cell r="F14">
            <v>165000</v>
          </cell>
          <cell r="H14">
            <v>3</v>
          </cell>
        </row>
        <row r="15">
          <cell r="C15">
            <v>1636.71048871106</v>
          </cell>
          <cell r="F15">
            <v>0</v>
          </cell>
          <cell r="H15">
            <v>0.5</v>
          </cell>
        </row>
        <row r="16">
          <cell r="C16">
            <v>49655.530151471852</v>
          </cell>
          <cell r="F16">
            <v>75000</v>
          </cell>
          <cell r="H16">
            <v>4.5</v>
          </cell>
        </row>
        <row r="17">
          <cell r="C17">
            <v>4841.3832523578158</v>
          </cell>
          <cell r="F17">
            <v>0</v>
          </cell>
          <cell r="H17">
            <v>0.5</v>
          </cell>
        </row>
        <row r="18">
          <cell r="C18">
            <v>194096.54186910551</v>
          </cell>
          <cell r="F18">
            <v>705136.15999999992</v>
          </cell>
          <cell r="H18">
            <v>10.5</v>
          </cell>
        </row>
        <row r="19">
          <cell r="C19">
            <v>8402.5007144898536</v>
          </cell>
          <cell r="F19">
            <v>0</v>
          </cell>
          <cell r="H19">
            <v>0.5</v>
          </cell>
        </row>
        <row r="20">
          <cell r="C20">
            <v>170275.15539173101</v>
          </cell>
          <cell r="F20">
            <v>26000</v>
          </cell>
          <cell r="H20">
            <v>7.98</v>
          </cell>
        </row>
        <row r="21">
          <cell r="C21">
            <v>0</v>
          </cell>
          <cell r="F21">
            <v>0</v>
          </cell>
          <cell r="H21">
            <v>0</v>
          </cell>
        </row>
        <row r="22">
          <cell r="C22">
            <v>683009.97427836526</v>
          </cell>
          <cell r="F22">
            <v>558500</v>
          </cell>
          <cell r="H22">
            <v>19</v>
          </cell>
        </row>
        <row r="23">
          <cell r="C23">
            <v>0</v>
          </cell>
          <cell r="F23">
            <v>0</v>
          </cell>
          <cell r="H23">
            <v>0</v>
          </cell>
        </row>
        <row r="24">
          <cell r="C24">
            <v>398578.10803086602</v>
          </cell>
          <cell r="F24">
            <v>324102.89500000002</v>
          </cell>
          <cell r="H24">
            <v>4.5</v>
          </cell>
        </row>
        <row r="25">
          <cell r="C25">
            <v>261408.44527007721</v>
          </cell>
          <cell r="F25">
            <v>83500</v>
          </cell>
          <cell r="H25">
            <v>5.5</v>
          </cell>
        </row>
        <row r="26">
          <cell r="C26">
            <v>246201.3628795846</v>
          </cell>
          <cell r="F26">
            <v>25000</v>
          </cell>
          <cell r="H26">
            <v>5.48</v>
          </cell>
        </row>
        <row r="27">
          <cell r="C27">
            <v>37899.39982852243</v>
          </cell>
          <cell r="F27">
            <v>60000</v>
          </cell>
          <cell r="H27">
            <v>1.5</v>
          </cell>
        </row>
        <row r="28">
          <cell r="C28">
            <v>146497.48499571311</v>
          </cell>
          <cell r="F28">
            <v>51320.894999999997</v>
          </cell>
          <cell r="H28">
            <v>1</v>
          </cell>
        </row>
        <row r="29">
          <cell r="C29">
            <v>0</v>
          </cell>
          <cell r="F29">
            <v>0</v>
          </cell>
          <cell r="H29">
            <v>0</v>
          </cell>
        </row>
        <row r="30">
          <cell r="C30">
            <v>395296.37039154052</v>
          </cell>
          <cell r="F30">
            <v>851159.5</v>
          </cell>
          <cell r="H30">
            <v>10</v>
          </cell>
        </row>
        <row r="31">
          <cell r="C31">
            <v>3649.042583595311</v>
          </cell>
          <cell r="F31">
            <v>30000</v>
          </cell>
          <cell r="H31">
            <v>0.5</v>
          </cell>
        </row>
        <row r="32">
          <cell r="C32">
            <v>70794.426979136886</v>
          </cell>
          <cell r="F32">
            <v>57782</v>
          </cell>
          <cell r="H32">
            <v>3.5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36"/>
  <sheetViews>
    <sheetView showGridLines="0" tabSelected="1" zoomScale="55" zoomScaleNormal="55" workbookViewId="0">
      <selection activeCell="J14" sqref="J14"/>
    </sheetView>
  </sheetViews>
  <sheetFormatPr defaultColWidth="9.140625" defaultRowHeight="15"/>
  <cols>
    <col min="1" max="1" width="23" bestFit="1" customWidth="1"/>
    <col min="2" max="2" width="23.42578125" style="1" customWidth="1"/>
    <col min="3" max="3" width="24.7109375" style="1" customWidth="1"/>
    <col min="4" max="4" width="19.5703125" customWidth="1"/>
    <col min="5" max="5" width="17.28515625" customWidth="1"/>
    <col min="6" max="6" width="22.28515625" bestFit="1" customWidth="1"/>
    <col min="7" max="7" width="22.28515625" customWidth="1"/>
    <col min="8" max="8" width="23.5703125" bestFit="1" customWidth="1"/>
    <col min="9" max="9" width="23.28515625" bestFit="1" customWidth="1"/>
    <col min="10" max="10" width="32.7109375" style="8" bestFit="1" customWidth="1"/>
    <col min="11" max="11" width="12.28515625" customWidth="1"/>
  </cols>
  <sheetData>
    <row r="6" spans="1:10" ht="18.75">
      <c r="A6" s="2" t="s">
        <v>0</v>
      </c>
      <c r="B6" s="3" t="s">
        <v>1</v>
      </c>
      <c r="C6" s="3" t="s">
        <v>2</v>
      </c>
      <c r="D6" s="11" t="s">
        <v>3</v>
      </c>
      <c r="E6" s="11" t="str">
        <f>'[1]Leaderboard Main Table'!J1</f>
        <v>Calls MTD</v>
      </c>
      <c r="F6" s="2" t="str">
        <f>'[1]Leaderboard Main Table'!K1</f>
        <v>CPD Adjusted</v>
      </c>
      <c r="G6" s="2" t="str">
        <f>'[1]Leaderboard Main Table'!M1</f>
        <v>Call Min Met</v>
      </c>
      <c r="H6" s="2" t="str">
        <f>'[1]Leaderboard Main Table'!N1</f>
        <v>Talk Time MTD</v>
      </c>
      <c r="I6" s="2" t="str">
        <f>'[1]Leaderboard Main Table'!O1</f>
        <v>TTPD Adjusted</v>
      </c>
      <c r="J6" s="9"/>
    </row>
    <row r="7" spans="1:10" ht="18.75">
      <c r="A7" s="54" t="s">
        <v>4</v>
      </c>
      <c r="B7" s="4">
        <f>'[2]Pivot Tables For Leaderboard'!C5</f>
        <v>1453938.5110031399</v>
      </c>
      <c r="C7" s="18">
        <f>'[2]Pivot Tables For Leaderboard'!F5</f>
        <v>1747659.5</v>
      </c>
      <c r="D7" s="13">
        <f>'[2]Pivot Tables For Leaderboard'!H5</f>
        <v>11</v>
      </c>
      <c r="E7" s="7">
        <f>'[1]Leaderboard Main Table'!J2</f>
        <v>180</v>
      </c>
      <c r="F7" s="17">
        <f>'[1]Leaderboard Main Table'!K2</f>
        <v>10</v>
      </c>
      <c r="G7" s="6" t="str">
        <f>'[1]Leaderboard Main Table'!M2</f>
        <v>✅</v>
      </c>
      <c r="H7" s="5">
        <f>'[1]Leaderboard Main Table'!N2</f>
        <v>2661.6</v>
      </c>
      <c r="I7" s="5">
        <f>'[1]Leaderboard Main Table'!O2</f>
        <v>147.8666666666667</v>
      </c>
    </row>
    <row r="8" spans="1:10" ht="18.75">
      <c r="A8" s="54" t="s">
        <v>5</v>
      </c>
      <c r="B8" s="4">
        <f>'[2]Pivot Tables For Leaderboard'!C22</f>
        <v>683009.97427836526</v>
      </c>
      <c r="C8" s="18">
        <f>'[2]Pivot Tables For Leaderboard'!F22</f>
        <v>558500</v>
      </c>
      <c r="D8" s="13">
        <f>'[2]Pivot Tables For Leaderboard'!H22</f>
        <v>19</v>
      </c>
      <c r="E8" s="7">
        <f>'[1]Leaderboard Main Table'!J19</f>
        <v>2980</v>
      </c>
      <c r="F8" s="17">
        <f>'[1]Leaderboard Main Table'!K19</f>
        <v>165.55555555555549</v>
      </c>
      <c r="G8" s="6" t="str">
        <f>'[1]Leaderboard Main Table'!M19</f>
        <v>✅</v>
      </c>
      <c r="H8" s="5">
        <f>'[1]Leaderboard Main Table'!N19</f>
        <v>4693.2</v>
      </c>
      <c r="I8" s="5">
        <f>'[1]Leaderboard Main Table'!O19</f>
        <v>260.73333333333329</v>
      </c>
    </row>
    <row r="9" spans="1:10" ht="18.75">
      <c r="A9" s="54" t="s">
        <v>6</v>
      </c>
      <c r="B9" s="4">
        <f>'[2]Pivot Tables For Leaderboard'!C30</f>
        <v>395296.37039154052</v>
      </c>
      <c r="C9" s="18">
        <f>'[2]Pivot Tables For Leaderboard'!F30</f>
        <v>851159.5</v>
      </c>
      <c r="D9" s="13">
        <f>'[2]Pivot Tables For Leaderboard'!H30</f>
        <v>10</v>
      </c>
      <c r="E9" s="7">
        <f>'[1]Leaderboard Main Table'!J27</f>
        <v>4296</v>
      </c>
      <c r="F9" s="17">
        <f>'[1]Leaderboard Main Table'!K27</f>
        <v>238.66666666666671</v>
      </c>
      <c r="G9" s="6" t="str">
        <f>'[1]Leaderboard Main Table'!M27</f>
        <v>✅</v>
      </c>
      <c r="H9" s="5">
        <f>'[1]Leaderboard Main Table'!N27</f>
        <v>2532.6</v>
      </c>
      <c r="I9" s="5">
        <f>'[1]Leaderboard Main Table'!O27</f>
        <v>140.69999999999999</v>
      </c>
    </row>
    <row r="10" spans="1:10" ht="18.75">
      <c r="A10" s="54" t="s">
        <v>7</v>
      </c>
      <c r="B10" s="31">
        <f>'[2]Pivot Tables For Leaderboard'!C24</f>
        <v>398578.10803086602</v>
      </c>
      <c r="C10" s="18">
        <f>'[2]Pivot Tables For Leaderboard'!F24</f>
        <v>324102.89500000002</v>
      </c>
      <c r="D10" s="32">
        <f>'[2]Pivot Tables For Leaderboard'!H24</f>
        <v>4.5</v>
      </c>
      <c r="E10" s="7">
        <f>'[1]Leaderboard Main Table'!J21</f>
        <v>1073</v>
      </c>
      <c r="F10" s="17">
        <f>'[1]Leaderboard Main Table'!K21</f>
        <v>59.611111111111107</v>
      </c>
      <c r="G10" s="6" t="str">
        <f>'[1]Leaderboard Main Table'!M21</f>
        <v>✅</v>
      </c>
      <c r="H10" s="5">
        <f>'[1]Leaderboard Main Table'!N21</f>
        <v>1831.2</v>
      </c>
      <c r="I10" s="5">
        <f>'[1]Leaderboard Main Table'!O21</f>
        <v>101.73333333333331</v>
      </c>
    </row>
    <row r="11" spans="1:10" ht="18.75">
      <c r="A11" s="54" t="s">
        <v>8</v>
      </c>
      <c r="B11" s="28">
        <f>'[2]Pivot Tables For Leaderboard'!C12</f>
        <v>307143.46956273209</v>
      </c>
      <c r="C11" s="18">
        <f>'[2]Pivot Tables For Leaderboard'!F12</f>
        <v>702500</v>
      </c>
      <c r="D11" s="13">
        <f>'[2]Pivot Tables For Leaderboard'!H12</f>
        <v>6</v>
      </c>
      <c r="E11" s="7">
        <f>'[1]Leaderboard Main Table'!J9</f>
        <v>875</v>
      </c>
      <c r="F11" s="17">
        <f>'[1]Leaderboard Main Table'!K9</f>
        <v>48.611111111111107</v>
      </c>
      <c r="G11" s="6" t="str">
        <f>'[1]Leaderboard Main Table'!M9</f>
        <v>✅</v>
      </c>
      <c r="H11" s="5">
        <f>'[1]Leaderboard Main Table'!N9</f>
        <v>2133.6</v>
      </c>
      <c r="I11" s="5">
        <f>'[1]Leaderboard Main Table'!O9</f>
        <v>118.5333333333333</v>
      </c>
    </row>
    <row r="12" spans="1:10" ht="18.75">
      <c r="A12" s="54" t="s">
        <v>9</v>
      </c>
      <c r="B12" s="4">
        <f>'[2]Pivot Tables For Leaderboard'!C25</f>
        <v>261408.44527007721</v>
      </c>
      <c r="C12" s="18">
        <f>'[2]Pivot Tables For Leaderboard'!F25</f>
        <v>83500</v>
      </c>
      <c r="D12" s="13">
        <f>'[2]Pivot Tables For Leaderboard'!H25</f>
        <v>5.5</v>
      </c>
      <c r="E12" s="7">
        <f>'[1]Leaderboard Main Table'!J22</f>
        <v>5345</v>
      </c>
      <c r="F12" s="17">
        <f>'[1]Leaderboard Main Table'!K22</f>
        <v>296.94444444444451</v>
      </c>
      <c r="G12" s="6" t="str">
        <f>'[1]Leaderboard Main Table'!M22</f>
        <v>❌</v>
      </c>
      <c r="H12" s="5">
        <f>'[1]Leaderboard Main Table'!N22</f>
        <v>3114.6</v>
      </c>
      <c r="I12" s="5">
        <f>'[1]Leaderboard Main Table'!O22</f>
        <v>173.0333333333333</v>
      </c>
    </row>
    <row r="13" spans="1:10" ht="18.75">
      <c r="A13" s="54" t="s">
        <v>10</v>
      </c>
      <c r="B13" s="4">
        <f>'[2]Pivot Tables For Leaderboard'!C26</f>
        <v>246201.3628795846</v>
      </c>
      <c r="C13" s="18">
        <f>'[2]Pivot Tables For Leaderboard'!F26</f>
        <v>25000</v>
      </c>
      <c r="D13" s="13">
        <f>'[2]Pivot Tables For Leaderboard'!H26</f>
        <v>5.48</v>
      </c>
      <c r="E13" s="7">
        <f>'[1]Leaderboard Main Table'!J23</f>
        <v>8</v>
      </c>
      <c r="F13" s="17">
        <f>'[1]Leaderboard Main Table'!K23</f>
        <v>0.44444444444444398</v>
      </c>
      <c r="G13" s="6" t="str">
        <f>'[1]Leaderboard Main Table'!M23</f>
        <v>✅</v>
      </c>
      <c r="H13" s="5">
        <f>'[1]Leaderboard Main Table'!N23</f>
        <v>55.2</v>
      </c>
      <c r="I13" s="5">
        <f>'[1]Leaderboard Main Table'!O23</f>
        <v>3.0666666666666669</v>
      </c>
    </row>
    <row r="14" spans="1:10" ht="18.75">
      <c r="A14" s="54" t="s">
        <v>11</v>
      </c>
      <c r="B14" s="4">
        <f>'[2]Pivot Tables For Leaderboard'!C18</f>
        <v>194096.54186910551</v>
      </c>
      <c r="C14" s="18">
        <f>'[2]Pivot Tables For Leaderboard'!F18</f>
        <v>705136.15999999992</v>
      </c>
      <c r="D14" s="13">
        <f>'[2]Pivot Tables For Leaderboard'!H18</f>
        <v>10.5</v>
      </c>
      <c r="E14" s="7">
        <f>'[1]Leaderboard Main Table'!J15</f>
        <v>1881</v>
      </c>
      <c r="F14" s="17">
        <f>'[1]Leaderboard Main Table'!K15</f>
        <v>104.5</v>
      </c>
      <c r="G14" s="6" t="str">
        <f>'[1]Leaderboard Main Table'!M15</f>
        <v>❌</v>
      </c>
      <c r="H14" s="5">
        <f>'[1]Leaderboard Main Table'!N15</f>
        <v>3117</v>
      </c>
      <c r="I14" s="5">
        <f>'[1]Leaderboard Main Table'!O15</f>
        <v>173.16666666666671</v>
      </c>
    </row>
    <row r="15" spans="1:10" ht="18.75">
      <c r="A15" s="58" t="s">
        <v>12</v>
      </c>
      <c r="B15" s="4">
        <f>'[2]Pivot Tables For Leaderboard'!C20</f>
        <v>170275.15539173101</v>
      </c>
      <c r="C15" s="18">
        <f>'[2]Pivot Tables For Leaderboard'!F20</f>
        <v>26000</v>
      </c>
      <c r="D15" s="13">
        <f>'[2]Pivot Tables For Leaderboard'!H20</f>
        <v>7.98</v>
      </c>
      <c r="E15" s="7">
        <f>'[1]Leaderboard Main Table'!J17</f>
        <v>3641</v>
      </c>
      <c r="F15" s="17">
        <f>'[1]Leaderboard Main Table'!K17</f>
        <v>202.2777777777778</v>
      </c>
      <c r="G15" s="6" t="str">
        <f>'[1]Leaderboard Main Table'!M17</f>
        <v>❌</v>
      </c>
      <c r="H15" s="5">
        <f>'[1]Leaderboard Main Table'!N17</f>
        <v>3705</v>
      </c>
      <c r="I15" s="5">
        <f>'[1]Leaderboard Main Table'!O17</f>
        <v>205.83333333333329</v>
      </c>
    </row>
    <row r="16" spans="1:10" ht="18.75">
      <c r="A16" s="56" t="s">
        <v>13</v>
      </c>
      <c r="B16" s="4">
        <f>'[2]Pivot Tables For Leaderboard'!C28</f>
        <v>146497.48499571311</v>
      </c>
      <c r="C16" s="18">
        <f>'[2]Pivot Tables For Leaderboard'!F28</f>
        <v>51320.894999999997</v>
      </c>
      <c r="D16" s="13">
        <f>'[2]Pivot Tables For Leaderboard'!H28</f>
        <v>1</v>
      </c>
      <c r="E16" s="7">
        <f>'[1]Leaderboard Main Table'!J25</f>
        <v>5196</v>
      </c>
      <c r="F16" s="17">
        <f>'[1]Leaderboard Main Table'!K25</f>
        <v>288.66666666666657</v>
      </c>
      <c r="G16" s="6" t="str">
        <f>'[1]Leaderboard Main Table'!M25</f>
        <v>❌</v>
      </c>
      <c r="H16" s="5">
        <f>'[1]Leaderboard Main Table'!N25</f>
        <v>2982</v>
      </c>
      <c r="I16" s="5">
        <f>'[1]Leaderboard Main Table'!O25</f>
        <v>165.66666666666671</v>
      </c>
    </row>
    <row r="17" spans="1:9" ht="18.75">
      <c r="A17" s="56" t="s">
        <v>14</v>
      </c>
      <c r="B17" s="4">
        <f>'[2]Pivot Tables For Leaderboard'!C13</f>
        <v>70882.237782223499</v>
      </c>
      <c r="C17" s="18">
        <f>'[2]Pivot Tables For Leaderboard'!F13</f>
        <v>230500</v>
      </c>
      <c r="D17" s="13">
        <f>'[2]Pivot Tables For Leaderboard'!H13</f>
        <v>4.5</v>
      </c>
      <c r="E17" s="7">
        <f>'[1]Leaderboard Main Table'!J10</f>
        <v>5310</v>
      </c>
      <c r="F17" s="17">
        <f>'[1]Leaderboard Main Table'!K10</f>
        <v>295</v>
      </c>
      <c r="G17" s="6" t="str">
        <f>'[1]Leaderboard Main Table'!M10</f>
        <v>❌</v>
      </c>
      <c r="H17" s="5">
        <f>'[1]Leaderboard Main Table'!N10</f>
        <v>3632.4</v>
      </c>
      <c r="I17" s="5">
        <f>'[1]Leaderboard Main Table'!O10</f>
        <v>201.8</v>
      </c>
    </row>
    <row r="18" spans="1:9" ht="18.75">
      <c r="A18" s="56" t="s">
        <v>15</v>
      </c>
      <c r="B18" s="4">
        <f>'[2]Pivot Tables For Leaderboard'!C6</f>
        <v>63425.721634752786</v>
      </c>
      <c r="C18" s="18">
        <f>'[2]Pivot Tables For Leaderboard'!F6</f>
        <v>544083.5</v>
      </c>
      <c r="D18" s="13">
        <f>'[2]Pivot Tables For Leaderboard'!H6</f>
        <v>3.5</v>
      </c>
      <c r="E18" s="7">
        <f>'[1]Leaderboard Main Table'!J3</f>
        <v>6277</v>
      </c>
      <c r="F18" s="17">
        <f>'[1]Leaderboard Main Table'!K3</f>
        <v>348.72222222222217</v>
      </c>
      <c r="G18" s="6" t="str">
        <f>'[1]Leaderboard Main Table'!M3</f>
        <v>❌</v>
      </c>
      <c r="H18" s="5">
        <f>'[1]Leaderboard Main Table'!N3</f>
        <v>3482.4</v>
      </c>
      <c r="I18" s="5">
        <f>'[1]Leaderboard Main Table'!O3</f>
        <v>193.4666666666667</v>
      </c>
    </row>
    <row r="19" spans="1:9" ht="18.75">
      <c r="A19" s="56" t="s">
        <v>16</v>
      </c>
      <c r="B19" s="4">
        <f>'[2]Pivot Tables For Leaderboard'!C7</f>
        <v>58797.67076307517</v>
      </c>
      <c r="C19" s="18">
        <f>'[2]Pivot Tables For Leaderboard'!F7</f>
        <v>110000</v>
      </c>
      <c r="D19" s="13">
        <f>'[2]Pivot Tables For Leaderboard'!H7</f>
        <v>2.5</v>
      </c>
      <c r="E19" s="7">
        <f>'[1]Leaderboard Main Table'!J4</f>
        <v>4837</v>
      </c>
      <c r="F19" s="17">
        <f>'[1]Leaderboard Main Table'!K4</f>
        <v>268.72222222222217</v>
      </c>
      <c r="G19" s="6" t="str">
        <f>'[1]Leaderboard Main Table'!M4</f>
        <v>✅</v>
      </c>
      <c r="H19" s="5">
        <f>'[1]Leaderboard Main Table'!N4</f>
        <v>2915.4</v>
      </c>
      <c r="I19" s="5">
        <f>'[1]Leaderboard Main Table'!O4</f>
        <v>161.9666666666667</v>
      </c>
    </row>
    <row r="20" spans="1:9" ht="18.75">
      <c r="A20" s="56" t="s">
        <v>17</v>
      </c>
      <c r="B20" s="31">
        <f>'[2]Pivot Tables For Leaderboard'!C32</f>
        <v>70794.426979136886</v>
      </c>
      <c r="C20" s="72">
        <f>'[2]Pivot Tables For Leaderboard'!F32</f>
        <v>57782</v>
      </c>
      <c r="D20" s="32">
        <f>'[2]Pivot Tables For Leaderboard'!H32</f>
        <v>3.5</v>
      </c>
      <c r="E20" s="7">
        <f>'[1]Leaderboard Main Table'!J29</f>
        <v>5164</v>
      </c>
      <c r="F20" s="17">
        <f>'[1]Leaderboard Main Table'!K29</f>
        <v>286.88888888888903</v>
      </c>
      <c r="G20" s="6" t="str">
        <f>'[1]Leaderboard Main Table'!M29</f>
        <v>❌</v>
      </c>
      <c r="H20" s="5">
        <f>'[1]Leaderboard Main Table'!N29</f>
        <v>2120.4</v>
      </c>
      <c r="I20" s="5">
        <f>'[1]Leaderboard Main Table'!O29</f>
        <v>117.8</v>
      </c>
    </row>
    <row r="21" spans="1:9" ht="18.75">
      <c r="A21" s="57" t="s">
        <v>18</v>
      </c>
      <c r="B21" s="4">
        <f>'[2]Pivot Tables For Leaderboard'!C14</f>
        <v>55398.956844812797</v>
      </c>
      <c r="C21" s="18">
        <f>'[2]Pivot Tables For Leaderboard'!F14</f>
        <v>165000</v>
      </c>
      <c r="D21" s="13">
        <f>'[2]Pivot Tables For Leaderboard'!H14</f>
        <v>3</v>
      </c>
      <c r="E21" s="7">
        <f>'[1]Leaderboard Main Table'!J11</f>
        <v>4241</v>
      </c>
      <c r="F21" s="17">
        <f>'[1]Leaderboard Main Table'!K11</f>
        <v>235.61111111111109</v>
      </c>
      <c r="G21" s="6" t="str">
        <f>'[1]Leaderboard Main Table'!M11</f>
        <v>❌</v>
      </c>
      <c r="H21" s="5">
        <f>'[1]Leaderboard Main Table'!N11</f>
        <v>2672.4</v>
      </c>
      <c r="I21" s="5">
        <f>'[1]Leaderboard Main Table'!O11</f>
        <v>148.4666666666667</v>
      </c>
    </row>
    <row r="22" spans="1:9" ht="18.75">
      <c r="A22" s="57" t="s">
        <v>19</v>
      </c>
      <c r="B22" s="4">
        <f>'[2]Pivot Tables For Leaderboard'!C9</f>
        <v>55272.512190816429</v>
      </c>
      <c r="C22" s="18">
        <f>'[2]Pivot Tables For Leaderboard'!F9</f>
        <v>79052.66</v>
      </c>
      <c r="D22" s="13">
        <f>'[2]Pivot Tables For Leaderboard'!H9</f>
        <v>3.66</v>
      </c>
      <c r="E22" s="7">
        <f>'[1]Leaderboard Main Table'!J6</f>
        <v>4840</v>
      </c>
      <c r="F22" s="17">
        <f>'[1]Leaderboard Main Table'!K6</f>
        <v>268.88888888888903</v>
      </c>
      <c r="G22" s="6" t="str">
        <f>'[1]Leaderboard Main Table'!M6</f>
        <v>❌</v>
      </c>
      <c r="H22" s="5">
        <f>'[1]Leaderboard Main Table'!N6</f>
        <v>2391</v>
      </c>
      <c r="I22" s="5">
        <f>'[1]Leaderboard Main Table'!O6</f>
        <v>132.83333333333329</v>
      </c>
    </row>
    <row r="23" spans="1:9" ht="18.75">
      <c r="A23" s="57" t="s">
        <v>20</v>
      </c>
      <c r="B23" s="4">
        <f>'[2]Pivot Tables For Leaderboard'!C11</f>
        <v>55153.900703058003</v>
      </c>
      <c r="C23" s="18">
        <f>'[2]Pivot Tables For Leaderboard'!F11</f>
        <v>25000</v>
      </c>
      <c r="D23" s="13">
        <f>'[2]Pivot Tables For Leaderboard'!H11</f>
        <v>3.32</v>
      </c>
      <c r="E23" s="7">
        <f>'[1]Leaderboard Main Table'!J8</f>
        <v>0</v>
      </c>
      <c r="F23" s="17">
        <f>'[1]Leaderboard Main Table'!K8</f>
        <v>0</v>
      </c>
      <c r="G23" s="6" t="str">
        <f>'[1]Leaderboard Main Table'!M8</f>
        <v>❌</v>
      </c>
      <c r="H23" s="5">
        <f>'[1]Leaderboard Main Table'!N8</f>
        <v>0</v>
      </c>
      <c r="I23" s="5">
        <f>'[1]Leaderboard Main Table'!O8</f>
        <v>0</v>
      </c>
    </row>
    <row r="24" spans="1:9" ht="18.75">
      <c r="A24" s="57" t="s">
        <v>21</v>
      </c>
      <c r="B24" s="4">
        <f>'[2]Pivot Tables For Leaderboard'!C16</f>
        <v>49655.530151471852</v>
      </c>
      <c r="C24" s="18">
        <f>'[2]Pivot Tables For Leaderboard'!F16</f>
        <v>75000</v>
      </c>
      <c r="D24" s="13">
        <f>'[2]Pivot Tables For Leaderboard'!H16</f>
        <v>4.5</v>
      </c>
      <c r="E24" s="7">
        <f>'[1]Leaderboard Main Table'!J13</f>
        <v>4988</v>
      </c>
      <c r="F24" s="17">
        <f>'[1]Leaderboard Main Table'!K13</f>
        <v>277.11111111111109</v>
      </c>
      <c r="G24" s="6" t="str">
        <f>'[1]Leaderboard Main Table'!M13</f>
        <v>❌</v>
      </c>
      <c r="H24" s="5">
        <f>'[1]Leaderboard Main Table'!N13</f>
        <v>3219.6</v>
      </c>
      <c r="I24" s="5">
        <f>'[1]Leaderboard Main Table'!O13</f>
        <v>178.8666666666667</v>
      </c>
    </row>
    <row r="25" spans="1:9" ht="18.75">
      <c r="A25" s="57" t="s">
        <v>22</v>
      </c>
      <c r="B25" s="4">
        <f>'[2]Pivot Tables For Leaderboard'!C27</f>
        <v>37899.39982852243</v>
      </c>
      <c r="C25" s="18">
        <f>'[2]Pivot Tables For Leaderboard'!F27</f>
        <v>60000</v>
      </c>
      <c r="D25" s="13">
        <f>'[2]Pivot Tables For Leaderboard'!H27</f>
        <v>1.5</v>
      </c>
      <c r="E25" s="7">
        <f>'[1]Leaderboard Main Table'!J24</f>
        <v>6079</v>
      </c>
      <c r="F25" s="17">
        <f>'[1]Leaderboard Main Table'!K24</f>
        <v>337.72222222222217</v>
      </c>
      <c r="G25" s="6" t="str">
        <f>'[1]Leaderboard Main Table'!M24</f>
        <v>✅</v>
      </c>
      <c r="H25" s="5">
        <f>'[1]Leaderboard Main Table'!N24</f>
        <v>2417.4</v>
      </c>
      <c r="I25" s="5">
        <f>'[1]Leaderboard Main Table'!O24</f>
        <v>134.30000000000001</v>
      </c>
    </row>
    <row r="26" spans="1:9" ht="18.75">
      <c r="A26" s="57" t="s">
        <v>23</v>
      </c>
      <c r="B26" s="4">
        <f>'[2]Pivot Tables For Leaderboard'!C10</f>
        <v>28326.964847099171</v>
      </c>
      <c r="C26" s="18">
        <f>'[2]Pivot Tables For Leaderboard'!F10</f>
        <v>153500</v>
      </c>
      <c r="D26" s="13">
        <f>'[2]Pivot Tables For Leaderboard'!H10</f>
        <v>2</v>
      </c>
      <c r="E26" s="7">
        <f>'[1]Leaderboard Main Table'!J7</f>
        <v>5218</v>
      </c>
      <c r="F26" s="17">
        <f>'[1]Leaderboard Main Table'!K7</f>
        <v>289.88888888888903</v>
      </c>
      <c r="G26" s="6" t="str">
        <f>'[1]Leaderboard Main Table'!M7</f>
        <v>❌</v>
      </c>
      <c r="H26" s="5">
        <f>'[1]Leaderboard Main Table'!N7</f>
        <v>3180.6</v>
      </c>
      <c r="I26" s="5">
        <f>'[1]Leaderboard Main Table'!O7</f>
        <v>176.7</v>
      </c>
    </row>
    <row r="27" spans="1:9" ht="18.75">
      <c r="A27" s="57" t="s">
        <v>24</v>
      </c>
      <c r="B27" s="4">
        <f>'[2]Pivot Tables For Leaderboard'!C19</f>
        <v>8402.5007144898536</v>
      </c>
      <c r="C27" s="18">
        <f>'[2]Pivot Tables For Leaderboard'!F19</f>
        <v>0</v>
      </c>
      <c r="D27" s="13">
        <f>'[2]Pivot Tables For Leaderboard'!H19</f>
        <v>0.5</v>
      </c>
      <c r="E27" s="7">
        <f>'[1]Leaderboard Main Table'!J16</f>
        <v>5439</v>
      </c>
      <c r="F27" s="17">
        <f>'[1]Leaderboard Main Table'!K16</f>
        <v>302.16666666666657</v>
      </c>
      <c r="G27" s="6" t="str">
        <f>'[1]Leaderboard Main Table'!M16</f>
        <v>❌</v>
      </c>
      <c r="H27" s="5">
        <f>'[1]Leaderboard Main Table'!N16</f>
        <v>1784.4</v>
      </c>
      <c r="I27" s="5">
        <f>'[1]Leaderboard Main Table'!O16</f>
        <v>99.13333333333334</v>
      </c>
    </row>
    <row r="28" spans="1:9" ht="18.75">
      <c r="A28" s="57" t="s">
        <v>25</v>
      </c>
      <c r="B28" s="4">
        <f>'[2]Pivot Tables For Leaderboard'!C17</f>
        <v>4841.3832523578158</v>
      </c>
      <c r="C28" s="18">
        <f>'[2]Pivot Tables For Leaderboard'!F17</f>
        <v>0</v>
      </c>
      <c r="D28" s="13">
        <f>'[2]Pivot Tables For Leaderboard'!H17</f>
        <v>0.5</v>
      </c>
      <c r="E28" s="7">
        <f>'[1]Leaderboard Main Table'!J14</f>
        <v>4713</v>
      </c>
      <c r="F28" s="17">
        <f>'[1]Leaderboard Main Table'!K14</f>
        <v>261.83333333333331</v>
      </c>
      <c r="G28" s="6" t="str">
        <f>'[1]Leaderboard Main Table'!M14</f>
        <v>❌</v>
      </c>
      <c r="H28" s="5">
        <f>'[1]Leaderboard Main Table'!N14</f>
        <v>2711.4</v>
      </c>
      <c r="I28" s="5">
        <f>'[1]Leaderboard Main Table'!O14</f>
        <v>150.6333333333333</v>
      </c>
    </row>
    <row r="29" spans="1:9" ht="18.75">
      <c r="A29" s="56" t="s">
        <v>26</v>
      </c>
      <c r="B29" s="4">
        <f>'[2]Pivot Tables For Leaderboard'!C31</f>
        <v>3649.042583595311</v>
      </c>
      <c r="C29" s="18">
        <f>'[2]Pivot Tables For Leaderboard'!F31</f>
        <v>30000</v>
      </c>
      <c r="D29" s="13">
        <f>'[2]Pivot Tables For Leaderboard'!H31</f>
        <v>0.5</v>
      </c>
      <c r="E29" s="7">
        <f>'[1]Leaderboard Main Table'!J28</f>
        <v>4684</v>
      </c>
      <c r="F29" s="17">
        <f>'[1]Leaderboard Main Table'!K28</f>
        <v>260.22222222222217</v>
      </c>
      <c r="G29" s="6" t="str">
        <f>'[1]Leaderboard Main Table'!M28</f>
        <v>❌</v>
      </c>
      <c r="H29" s="5">
        <f>'[1]Leaderboard Main Table'!N28</f>
        <v>1666.2</v>
      </c>
      <c r="I29" s="5">
        <f>'[1]Leaderboard Main Table'!O28</f>
        <v>92.566666666666663</v>
      </c>
    </row>
    <row r="30" spans="1:9" ht="18.75">
      <c r="A30" s="56" t="s">
        <v>27</v>
      </c>
      <c r="B30" s="75">
        <f>'[2]Pivot Tables For Leaderboard'!C15</f>
        <v>1636.71048871106</v>
      </c>
      <c r="C30" s="18">
        <f>'[2]Pivot Tables For Leaderboard'!F15</f>
        <v>0</v>
      </c>
      <c r="D30" s="13">
        <f>'[2]Pivot Tables For Leaderboard'!H15</f>
        <v>0.5</v>
      </c>
      <c r="E30" s="7">
        <f>'[1]Leaderboard Main Table'!J12</f>
        <v>5609</v>
      </c>
      <c r="F30" s="17">
        <f>'[1]Leaderboard Main Table'!K12</f>
        <v>311.61111111111109</v>
      </c>
      <c r="G30" s="6" t="str">
        <f>'[1]Leaderboard Main Table'!M12</f>
        <v>❌</v>
      </c>
      <c r="H30" s="76">
        <f>'[1]Leaderboard Main Table'!N12</f>
        <v>2399.4</v>
      </c>
      <c r="I30" s="5">
        <f>'[1]Leaderboard Main Table'!O12</f>
        <v>133.30000000000001</v>
      </c>
    </row>
    <row r="31" spans="1:9" ht="18.75">
      <c r="A31" s="56" t="s">
        <v>28</v>
      </c>
      <c r="B31" s="74">
        <f>'[2]Pivot Tables For Leaderboard'!C8</f>
        <v>0</v>
      </c>
      <c r="C31" s="19">
        <f>'[2]Pivot Tables For Leaderboard'!F8</f>
        <v>0</v>
      </c>
      <c r="D31" s="13">
        <f>'[2]Pivot Tables For Leaderboard'!H8</f>
        <v>0</v>
      </c>
      <c r="E31" s="7">
        <f>'[1]Leaderboard Main Table'!J5</f>
        <v>4956</v>
      </c>
      <c r="F31" s="17">
        <f>'[1]Leaderboard Main Table'!K5</f>
        <v>275.33333333333331</v>
      </c>
      <c r="G31" s="6" t="str">
        <f>'[1]Leaderboard Main Table'!M5</f>
        <v>❌</v>
      </c>
      <c r="H31" s="10">
        <f>'[1]Leaderboard Main Table'!N5</f>
        <v>2404.1999999999998</v>
      </c>
      <c r="I31" s="5">
        <f>'[1]Leaderboard Main Table'!O5</f>
        <v>133.56666666666669</v>
      </c>
    </row>
    <row r="32" spans="1:9" ht="18.75">
      <c r="A32" s="56" t="s">
        <v>29</v>
      </c>
      <c r="B32" s="14">
        <f>'[2]Pivot Tables For Leaderboard'!C21</f>
        <v>0</v>
      </c>
      <c r="C32" s="19">
        <f>'[2]Pivot Tables For Leaderboard'!F21</f>
        <v>0</v>
      </c>
      <c r="D32" s="13">
        <f>'[2]Pivot Tables For Leaderboard'!H21</f>
        <v>0</v>
      </c>
      <c r="E32" s="7">
        <f>'[1]Leaderboard Main Table'!J18</f>
        <v>1832</v>
      </c>
      <c r="F32" s="17">
        <f>'[1]Leaderboard Main Table'!K18</f>
        <v>101.7777777777778</v>
      </c>
      <c r="G32" s="6" t="str">
        <f>'[1]Leaderboard Main Table'!M18</f>
        <v>❌</v>
      </c>
      <c r="H32" s="10">
        <f>'[1]Leaderboard Main Table'!N18</f>
        <v>1055.4000000000001</v>
      </c>
      <c r="I32" s="5">
        <f>'[1]Leaderboard Main Table'!O18</f>
        <v>58.63333333333334</v>
      </c>
    </row>
    <row r="33" spans="1:9" ht="18.75">
      <c r="A33" s="56" t="s">
        <v>30</v>
      </c>
      <c r="B33" s="51">
        <f>'[2]Pivot Tables For Leaderboard'!C23</f>
        <v>0</v>
      </c>
      <c r="C33" s="60">
        <f>'[2]Pivot Tables For Leaderboard'!F23</f>
        <v>0</v>
      </c>
      <c r="D33" s="52">
        <f>'[2]Pivot Tables For Leaderboard'!H23</f>
        <v>0</v>
      </c>
      <c r="E33" s="53">
        <f>'[1]Leaderboard Main Table'!J20</f>
        <v>5866</v>
      </c>
      <c r="F33" s="12">
        <f>'[1]Leaderboard Main Table'!K20</f>
        <v>325.88888888888903</v>
      </c>
      <c r="G33" s="12" t="str">
        <f>'[1]Leaderboard Main Table'!M20</f>
        <v>❌</v>
      </c>
      <c r="H33" s="12">
        <f>'[1]Leaderboard Main Table'!N20</f>
        <v>2227.8000000000002</v>
      </c>
      <c r="I33" s="12">
        <f>'[1]Leaderboard Main Table'!O20</f>
        <v>123.76666666666669</v>
      </c>
    </row>
    <row r="34" spans="1:9" ht="18.75">
      <c r="A34" s="55" t="s">
        <v>31</v>
      </c>
      <c r="B34" s="71">
        <f>'[2]Pivot Tables For Leaderboard'!C29</f>
        <v>0</v>
      </c>
      <c r="C34" s="73">
        <f>'[2]Pivot Tables For Leaderboard'!F29</f>
        <v>0</v>
      </c>
      <c r="D34" s="13">
        <f>'[2]Pivot Tables For Leaderboard'!H29</f>
        <v>0</v>
      </c>
      <c r="E34" s="7">
        <f>'[1]Leaderboard Main Table'!J26</f>
        <v>6960</v>
      </c>
      <c r="F34" s="6">
        <f>'[1]Leaderboard Main Table'!K26</f>
        <v>386.66666666666657</v>
      </c>
      <c r="G34" s="12" t="str">
        <f>'[1]Leaderboard Main Table'!M26</f>
        <v>✅</v>
      </c>
      <c r="H34" s="6">
        <f>'[1]Leaderboard Main Table'!N26</f>
        <v>2651.4</v>
      </c>
      <c r="I34" s="6">
        <f>'[1]Leaderboard Main Table'!O26</f>
        <v>147.30000000000001</v>
      </c>
    </row>
    <row r="35" spans="1:9" ht="19.5" thickBot="1">
      <c r="A35" s="58"/>
      <c r="B35" s="20"/>
      <c r="C35" s="21"/>
      <c r="D35" s="21"/>
      <c r="E35" s="22"/>
      <c r="F35" s="23"/>
      <c r="G35" s="23"/>
      <c r="H35" s="23"/>
      <c r="I35" s="59"/>
    </row>
    <row r="36" spans="1:9" ht="15.75" thickBot="1">
      <c r="A36" s="24" t="s">
        <v>32</v>
      </c>
      <c r="B36" s="25">
        <f>SUM(B7:B34)</f>
        <v>4820582.3824369777</v>
      </c>
      <c r="C36" s="25">
        <f>SUM(C7:C34)</f>
        <v>6604797.1099999994</v>
      </c>
      <c r="D36" s="26">
        <f>SUM(D7:D34)</f>
        <v>114.94</v>
      </c>
      <c r="E36" s="29">
        <f>SUM(E7:E34)</f>
        <v>112488</v>
      </c>
      <c r="F36" s="27">
        <f>SUM(F7:F34)</f>
        <v>6249.3333333333339</v>
      </c>
      <c r="G36" s="27"/>
      <c r="H36" s="27">
        <f>SUM(H7:H34)</f>
        <v>69757.8</v>
      </c>
      <c r="I36" s="30">
        <f>SUM(I7:I34)</f>
        <v>3875.4333333333338</v>
      </c>
    </row>
  </sheetData>
  <sheetProtection sheet="1" objects="1" scenarios="1"/>
  <autoFilter ref="A6:I34" xr:uid="{00000000-0001-0000-0000-000000000000}">
    <sortState xmlns:xlrd2="http://schemas.microsoft.com/office/spreadsheetml/2017/richdata2" ref="A7:I34">
      <sortCondition descending="1" ref="B6:B34"/>
    </sortState>
  </autoFilter>
  <conditionalFormatting sqref="B7:B30">
    <cfRule type="colorScale" priority="1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B35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{D544AEB6-210C-435D-9462-ECFF11EEE23A}</x14:id>
        </ext>
      </extLst>
    </cfRule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D30">
    <cfRule type="colorScale" priority="1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C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C35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30">
    <cfRule type="colorScale" priority="1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33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D35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30">
    <cfRule type="colorScale" priority="1188">
      <colorScale>
        <cfvo type="min"/>
        <cfvo type="max"/>
        <color rgb="FFFCFCFF"/>
        <color rgb="FF63BE7B"/>
      </colorScale>
    </cfRule>
  </conditionalFormatting>
  <conditionalFormatting sqref="F7:G35">
    <cfRule type="colorScale" priority="1227">
      <colorScale>
        <cfvo type="min"/>
        <cfvo type="max"/>
        <color rgb="FFFCFCFF"/>
        <color rgb="FF63BE7B"/>
      </colorScale>
    </cfRule>
  </conditionalFormatting>
  <conditionalFormatting sqref="G7:G34">
    <cfRule type="cellIs" dxfId="1" priority="4" operator="equal">
      <formula>"✅"</formula>
    </cfRule>
    <cfRule type="cellIs" dxfId="0" priority="5" operator="equal">
      <formula>"❌"</formula>
    </cfRule>
  </conditionalFormatting>
  <conditionalFormatting sqref="H7:H30">
    <cfRule type="colorScale" priority="1190">
      <colorScale>
        <cfvo type="min"/>
        <cfvo type="max"/>
        <color rgb="FFFCFCFF"/>
        <color rgb="FF63BE7B"/>
      </colorScale>
    </cfRule>
  </conditionalFormatting>
  <conditionalFormatting sqref="I7:I35">
    <cfRule type="colorScale" priority="122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44AEB6-210C-435D-9462-ECFF11EEE2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B7:B35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8CF2-9DD8-4A92-B13E-6D03BC752FA6}">
  <dimension ref="A1:P32"/>
  <sheetViews>
    <sheetView topLeftCell="A2" workbookViewId="0">
      <selection activeCell="N26" sqref="N26"/>
    </sheetView>
  </sheetViews>
  <sheetFormatPr defaultRowHeight="15"/>
  <cols>
    <col min="1" max="1" width="16.28515625" style="15" bestFit="1" customWidth="1"/>
    <col min="2" max="2" width="20.28515625" style="15" customWidth="1"/>
    <col min="3" max="3" width="15.42578125" style="15" customWidth="1"/>
    <col min="4" max="4" width="16" style="15" customWidth="1"/>
    <col min="5" max="5" width="7.7109375" style="15" hidden="1" customWidth="1"/>
    <col min="6" max="6" width="7.42578125" style="15" hidden="1" customWidth="1"/>
    <col min="7" max="7" width="7.5703125" style="15" hidden="1" customWidth="1"/>
    <col min="8" max="8" width="6.85546875" style="15" hidden="1" customWidth="1"/>
    <col min="9" max="9" width="9.5703125" style="15" hidden="1" customWidth="1"/>
    <col min="10" max="10" width="13.28515625" style="15" hidden="1" customWidth="1"/>
    <col min="11" max="11" width="10.7109375" style="15" hidden="1" customWidth="1"/>
    <col min="12" max="12" width="12.85546875" style="15" hidden="1" customWidth="1"/>
    <col min="13" max="13" width="12.5703125" style="15" hidden="1" customWidth="1"/>
    <col min="14" max="14" width="19.28515625" style="15" customWidth="1"/>
    <col min="15" max="15" width="15.28515625" style="15" bestFit="1" customWidth="1"/>
    <col min="16" max="16" width="23.140625" style="15" bestFit="1" customWidth="1"/>
    <col min="17" max="16384" width="9.140625" style="15"/>
  </cols>
  <sheetData>
    <row r="1" spans="1:16">
      <c r="A1" s="61">
        <f>'[1]MOM 2026'!A1</f>
        <v>2026</v>
      </c>
      <c r="B1" s="62" t="str">
        <f>'[1]MOM 2026'!B1</f>
        <v>January</v>
      </c>
      <c r="C1" s="62" t="str">
        <f>'[1]MOM 2026'!C1</f>
        <v>February</v>
      </c>
      <c r="D1" s="62" t="str">
        <f>'[1]MOM 2026'!D1</f>
        <v>March</v>
      </c>
      <c r="E1" s="62" t="str">
        <f>'[1]MOM 2026'!E1</f>
        <v>April</v>
      </c>
      <c r="F1" s="62" t="str">
        <f>'[1]MOM 2026'!F1</f>
        <v>May</v>
      </c>
      <c r="G1" s="62" t="str">
        <f>'[1]MOM 2026'!G1</f>
        <v>June</v>
      </c>
      <c r="H1" s="62" t="str">
        <f>'[1]MOM 2026'!H1</f>
        <v>July</v>
      </c>
      <c r="I1" s="62" t="str">
        <f>'[1]MOM 2026'!I1</f>
        <v>August</v>
      </c>
      <c r="J1" s="62" t="str">
        <f>'[1]MOM 2026'!J1</f>
        <v>September</v>
      </c>
      <c r="K1" s="62" t="str">
        <f>'[1]MOM 2026'!K1</f>
        <v>October</v>
      </c>
      <c r="L1" s="62" t="str">
        <f>'[1]MOM 2026'!L1</f>
        <v>November</v>
      </c>
      <c r="M1" s="62" t="str">
        <f>'[1]MOM 2026'!M1</f>
        <v>December</v>
      </c>
      <c r="N1" s="62" t="str">
        <f>'[1]MOM 2026'!N1</f>
        <v>Monthly Average</v>
      </c>
      <c r="O1" s="62" t="str">
        <f>'[1]MOM 2026'!O1</f>
        <v>YTD Total</v>
      </c>
      <c r="P1" s="63" t="str">
        <f>'[1]MOM 2026'!P1</f>
        <v>Year End Projection</v>
      </c>
    </row>
    <row r="2" spans="1:16">
      <c r="A2" s="38" t="str">
        <f>'[1]MOM 2026'!A2</f>
        <v>Aaron Crossman</v>
      </c>
      <c r="B2" s="34">
        <f>'[1]MOM 2026'!B2</f>
        <v>2144832.17</v>
      </c>
      <c r="C2" s="34">
        <f>'[1]MOM 2026'!C2</f>
        <v>4009663.4451454701</v>
      </c>
      <c r="D2" s="34">
        <f>'[1]MOM 2026'!D2</f>
        <v>1251115.04465495</v>
      </c>
      <c r="E2" s="16">
        <f>'[1]MOM 2026'!E2</f>
        <v>0</v>
      </c>
      <c r="F2" s="16">
        <f>'[1]MOM 2026'!F2</f>
        <v>0</v>
      </c>
      <c r="G2" s="16">
        <f>'[1]MOM 2026'!G2</f>
        <v>0</v>
      </c>
      <c r="H2" s="16">
        <f>'[1]MOM 2026'!H2</f>
        <v>0</v>
      </c>
      <c r="I2" s="16">
        <f>'[1]MOM 2026'!I2</f>
        <v>0</v>
      </c>
      <c r="J2" s="16">
        <f>'[1]MOM 2026'!J2</f>
        <v>0</v>
      </c>
      <c r="K2" s="16">
        <f>'[1]MOM 2026'!K2</f>
        <v>0</v>
      </c>
      <c r="L2" s="16">
        <f>'[1]MOM 2026'!L2</f>
        <v>0</v>
      </c>
      <c r="M2" s="16">
        <f>'[1]MOM 2026'!M2</f>
        <v>0</v>
      </c>
      <c r="N2" s="39">
        <f>'[1]MOM 2026'!N2</f>
        <v>3702805.3299002098</v>
      </c>
      <c r="O2" s="40">
        <f>'[1]MOM 2026'!O2</f>
        <v>7405610.6598004196</v>
      </c>
      <c r="P2" s="41">
        <f>'[1]MOM 2026'!P2</f>
        <v>44433663.958802499</v>
      </c>
    </row>
    <row r="3" spans="1:16">
      <c r="A3" s="38" t="str">
        <f>'[1]MOM 2026'!A19</f>
        <v>Ken John</v>
      </c>
      <c r="B3" s="34">
        <f>'[1]MOM 2026'!B19</f>
        <v>2331467.23</v>
      </c>
      <c r="C3" s="34">
        <f>'[1]MOM 2026'!C19</f>
        <v>1296630.5053338101</v>
      </c>
      <c r="D3" s="34">
        <f>'[1]MOM 2026'!D19</f>
        <v>792401.35753072298</v>
      </c>
      <c r="E3" s="16">
        <f>'[1]MOM 2026'!E19</f>
        <v>0</v>
      </c>
      <c r="F3" s="16">
        <f>'[1]MOM 2026'!F19</f>
        <v>0</v>
      </c>
      <c r="G3" s="16">
        <f>'[1]MOM 2026'!G19</f>
        <v>0</v>
      </c>
      <c r="H3" s="16">
        <f>'[1]MOM 2026'!H19</f>
        <v>0</v>
      </c>
      <c r="I3" s="16">
        <f>'[1]MOM 2026'!I19</f>
        <v>0</v>
      </c>
      <c r="J3" s="16">
        <f>'[1]MOM 2026'!J19</f>
        <v>0</v>
      </c>
      <c r="K3" s="16">
        <f>'[1]MOM 2026'!K19</f>
        <v>0</v>
      </c>
      <c r="L3" s="16">
        <f>'[1]MOM 2026'!L19</f>
        <v>0</v>
      </c>
      <c r="M3" s="16">
        <f>'[1]MOM 2026'!M19</f>
        <v>0</v>
      </c>
      <c r="N3" s="39">
        <f>'[1]MOM 2026'!N19</f>
        <v>2210249.5464322702</v>
      </c>
      <c r="O3" s="40">
        <f>'[1]MOM 2026'!O19</f>
        <v>4420499.0928645302</v>
      </c>
      <c r="P3" s="41">
        <f>'[1]MOM 2026'!P19</f>
        <v>26522994.5571872</v>
      </c>
    </row>
    <row r="4" spans="1:16">
      <c r="A4" s="38" t="str">
        <f>'[1]MOM 2026'!A24</f>
        <v>Ryan Mullen</v>
      </c>
      <c r="B4" s="34">
        <f>'[1]MOM 2026'!B24</f>
        <v>1331570.8999999999</v>
      </c>
      <c r="C4" s="34">
        <f>'[1]MOM 2026'!C24</f>
        <v>1075897.30118062</v>
      </c>
      <c r="D4" s="34">
        <f>'[1]MOM 2026'!D24</f>
        <v>613811.57473563869</v>
      </c>
      <c r="E4" s="16">
        <f>'[1]MOM 2026'!E24</f>
        <v>0</v>
      </c>
      <c r="F4" s="16">
        <f>'[1]MOM 2026'!F24</f>
        <v>0</v>
      </c>
      <c r="G4" s="16">
        <f>'[1]MOM 2026'!G24</f>
        <v>0</v>
      </c>
      <c r="H4" s="16">
        <f>'[1]MOM 2026'!H24</f>
        <v>0</v>
      </c>
      <c r="I4" s="16">
        <f>'[1]MOM 2026'!I24</f>
        <v>0</v>
      </c>
      <c r="J4" s="16">
        <f>'[1]MOM 2026'!J24</f>
        <v>0</v>
      </c>
      <c r="K4" s="16">
        <f>'[1]MOM 2026'!K24</f>
        <v>0</v>
      </c>
      <c r="L4" s="16">
        <f>'[1]MOM 2026'!L24</f>
        <v>0</v>
      </c>
      <c r="M4" s="16">
        <f>'[1]MOM 2026'!M24</f>
        <v>0</v>
      </c>
      <c r="N4" s="39">
        <f>'[1]MOM 2026'!N24</f>
        <v>1510639.8879581301</v>
      </c>
      <c r="O4" s="40">
        <f>'[1]MOM 2026'!O24</f>
        <v>3021279.7759162602</v>
      </c>
      <c r="P4" s="41">
        <f>'[1]MOM 2026'!P24</f>
        <v>18127678.655497499</v>
      </c>
    </row>
    <row r="5" spans="1:16">
      <c r="A5" s="38" t="str">
        <f>'[1]MOM 2026'!A27</f>
        <v>Shelly Barba</v>
      </c>
      <c r="B5" s="34">
        <f>'[1]MOM 2026'!B27</f>
        <v>1053322.24</v>
      </c>
      <c r="C5" s="34">
        <f>'[1]MOM 2026'!C27</f>
        <v>1577462.2109008301</v>
      </c>
      <c r="D5" s="34">
        <f>'[1]MOM 2026'!D27</f>
        <v>380344.47937505943</v>
      </c>
      <c r="E5" s="16">
        <f>'[1]MOM 2026'!E27</f>
        <v>0</v>
      </c>
      <c r="F5" s="16">
        <f>'[1]MOM 2026'!F27</f>
        <v>0</v>
      </c>
      <c r="G5" s="16">
        <f>'[1]MOM 2026'!G27</f>
        <v>0</v>
      </c>
      <c r="H5" s="16">
        <f>'[1]MOM 2026'!H27</f>
        <v>0</v>
      </c>
      <c r="I5" s="16">
        <f>'[1]MOM 2026'!I27</f>
        <v>0</v>
      </c>
      <c r="J5" s="16">
        <f>'[1]MOM 2026'!J27</f>
        <v>0</v>
      </c>
      <c r="K5" s="16">
        <f>'[1]MOM 2026'!K27</f>
        <v>0</v>
      </c>
      <c r="L5" s="16">
        <f>'[1]MOM 2026'!L27</f>
        <v>0</v>
      </c>
      <c r="M5" s="16">
        <f>'[1]MOM 2026'!M27</f>
        <v>0</v>
      </c>
      <c r="N5" s="39">
        <f>'[1]MOM 2026'!N27</f>
        <v>1505564.4651379399</v>
      </c>
      <c r="O5" s="40">
        <f>'[1]MOM 2026'!O27</f>
        <v>3011128.93027589</v>
      </c>
      <c r="P5" s="41">
        <f>'[1]MOM 2026'!P27</f>
        <v>18066773.581655301</v>
      </c>
    </row>
    <row r="6" spans="1:16">
      <c r="A6" s="38" t="str">
        <f>'[1]MOM 2026'!A8</f>
        <v>Caleb Brown</v>
      </c>
      <c r="B6" s="34">
        <f>'[1]MOM 2026'!B8</f>
        <v>1254035.6200000001</v>
      </c>
      <c r="C6" s="34">
        <f>'[1]MOM 2026'!C8</f>
        <v>718954.63465752103</v>
      </c>
      <c r="D6" s="34">
        <f>'[1]MOM 2026'!D8</f>
        <v>735978.70820234355</v>
      </c>
      <c r="E6" s="16">
        <f>'[1]MOM 2026'!E8</f>
        <v>0</v>
      </c>
      <c r="F6" s="16">
        <f>'[1]MOM 2026'!F8</f>
        <v>0</v>
      </c>
      <c r="G6" s="16">
        <f>'[1]MOM 2026'!G8</f>
        <v>0</v>
      </c>
      <c r="H6" s="16">
        <f>'[1]MOM 2026'!H8</f>
        <v>0</v>
      </c>
      <c r="I6" s="16">
        <f>'[1]MOM 2026'!I8</f>
        <v>0</v>
      </c>
      <c r="J6" s="16">
        <f>'[1]MOM 2026'!J8</f>
        <v>0</v>
      </c>
      <c r="K6" s="16">
        <f>'[1]MOM 2026'!K8</f>
        <v>0</v>
      </c>
      <c r="L6" s="16">
        <f>'[1]MOM 2026'!L8</f>
        <v>0</v>
      </c>
      <c r="M6" s="16">
        <f>'[1]MOM 2026'!M8</f>
        <v>0</v>
      </c>
      <c r="N6" s="39">
        <f>'[1]MOM 2026'!N8</f>
        <v>1354484.4814299301</v>
      </c>
      <c r="O6" s="40">
        <f>'[1]MOM 2026'!O8</f>
        <v>2708968.9628598602</v>
      </c>
      <c r="P6" s="41">
        <f>'[1]MOM 2026'!P8</f>
        <v>16253813.777159199</v>
      </c>
    </row>
    <row r="7" spans="1:16">
      <c r="A7" s="38" t="str">
        <f>'[1]MOM 2026'!A21</f>
        <v>Oliver Moseby</v>
      </c>
      <c r="B7" s="34">
        <f>'[1]MOM 2026'!B21</f>
        <v>968775.94</v>
      </c>
      <c r="C7" s="34">
        <f>'[1]MOM 2026'!C21</f>
        <v>729609.67419262649</v>
      </c>
      <c r="D7" s="34">
        <f>'[1]MOM 2026'!D21</f>
        <v>196799.75231018389</v>
      </c>
      <c r="E7" s="16">
        <f>'[1]MOM 2026'!E21</f>
        <v>0</v>
      </c>
      <c r="F7" s="16">
        <f>'[1]MOM 2026'!F21</f>
        <v>0</v>
      </c>
      <c r="G7" s="16">
        <f>'[1]MOM 2026'!G21</f>
        <v>0</v>
      </c>
      <c r="H7" s="16">
        <f>'[1]MOM 2026'!H21</f>
        <v>0</v>
      </c>
      <c r="I7" s="16">
        <f>'[1]MOM 2026'!I21</f>
        <v>0</v>
      </c>
      <c r="J7" s="16">
        <f>'[1]MOM 2026'!J21</f>
        <v>0</v>
      </c>
      <c r="K7" s="16">
        <f>'[1]MOM 2026'!K21</f>
        <v>0</v>
      </c>
      <c r="L7" s="16">
        <f>'[1]MOM 2026'!L21</f>
        <v>0</v>
      </c>
      <c r="M7" s="16">
        <f>'[1]MOM 2026'!M21</f>
        <v>0</v>
      </c>
      <c r="N7" s="39">
        <f>'[1]MOM 2026'!N21</f>
        <v>947592.68325140513</v>
      </c>
      <c r="O7" s="40">
        <f>'[1]MOM 2026'!O21</f>
        <v>1895185.36650281</v>
      </c>
      <c r="P7" s="41">
        <f>'[1]MOM 2026'!P21</f>
        <v>11371112.199016901</v>
      </c>
    </row>
    <row r="8" spans="1:16">
      <c r="A8" s="38" t="str">
        <f>'[1]MOM 2026'!A15</f>
        <v>James Martz</v>
      </c>
      <c r="B8" s="34">
        <f>'[1]MOM 2026'!B15</f>
        <v>445916.9</v>
      </c>
      <c r="C8" s="34">
        <f>'[1]MOM 2026'!C15</f>
        <v>821695.27994750871</v>
      </c>
      <c r="D8" s="34">
        <f>'[1]MOM 2026'!D15</f>
        <v>520739.36246613337</v>
      </c>
      <c r="E8" s="16">
        <f>'[1]MOM 2026'!E15</f>
        <v>0</v>
      </c>
      <c r="F8" s="16">
        <f>'[1]MOM 2026'!F15</f>
        <v>0</v>
      </c>
      <c r="G8" s="16">
        <f>'[1]MOM 2026'!G15</f>
        <v>0</v>
      </c>
      <c r="H8" s="16">
        <f>'[1]MOM 2026'!H15</f>
        <v>0</v>
      </c>
      <c r="I8" s="16">
        <f>'[1]MOM 2026'!I15</f>
        <v>0</v>
      </c>
      <c r="J8" s="16">
        <f>'[1]MOM 2026'!J15</f>
        <v>0</v>
      </c>
      <c r="K8" s="16">
        <f>'[1]MOM 2026'!K15</f>
        <v>0</v>
      </c>
      <c r="L8" s="16">
        <f>'[1]MOM 2026'!L15</f>
        <v>0</v>
      </c>
      <c r="M8" s="16">
        <f>'[1]MOM 2026'!M15</f>
        <v>0</v>
      </c>
      <c r="N8" s="39">
        <f>'[1]MOM 2026'!N15</f>
        <v>894175.77120682097</v>
      </c>
      <c r="O8" s="40">
        <f>'[1]MOM 2026'!O15</f>
        <v>1788351.5424136401</v>
      </c>
      <c r="P8" s="41">
        <f>'[1]MOM 2026'!P15</f>
        <v>10730109.2544819</v>
      </c>
    </row>
    <row r="9" spans="1:16">
      <c r="A9" s="38" t="str">
        <f>'[1]MOM 2026'!A9</f>
        <v>Carson Goodwin</v>
      </c>
      <c r="B9" s="34">
        <f>'[1]MOM 2026'!B9</f>
        <v>438445.5</v>
      </c>
      <c r="C9" s="34">
        <f>'[1]MOM 2026'!C9</f>
        <v>888252.70077164902</v>
      </c>
      <c r="D9" s="34">
        <f>'[1]MOM 2026'!D9</f>
        <v>83146.070305801666</v>
      </c>
      <c r="E9" s="16">
        <f>'[1]MOM 2026'!E9</f>
        <v>0</v>
      </c>
      <c r="F9" s="16">
        <f>'[1]MOM 2026'!F9</f>
        <v>0</v>
      </c>
      <c r="G9" s="16">
        <f>'[1]MOM 2026'!G9</f>
        <v>0</v>
      </c>
      <c r="H9" s="16">
        <f>'[1]MOM 2026'!H9</f>
        <v>0</v>
      </c>
      <c r="I9" s="16">
        <f>'[1]MOM 2026'!I9</f>
        <v>0</v>
      </c>
      <c r="J9" s="16">
        <f>'[1]MOM 2026'!J9</f>
        <v>0</v>
      </c>
      <c r="K9" s="16">
        <f>'[1]MOM 2026'!K9</f>
        <v>0</v>
      </c>
      <c r="L9" s="16">
        <f>'[1]MOM 2026'!L9</f>
        <v>0</v>
      </c>
      <c r="M9" s="16">
        <f>'[1]MOM 2026'!M9</f>
        <v>0</v>
      </c>
      <c r="N9" s="39">
        <f>'[1]MOM 2026'!N9</f>
        <v>704922.1355387253</v>
      </c>
      <c r="O9" s="40">
        <f>'[1]MOM 2026'!O9</f>
        <v>1409844.2710774499</v>
      </c>
      <c r="P9" s="41">
        <f>'[1]MOM 2026'!P9</f>
        <v>8459065.6264647003</v>
      </c>
    </row>
    <row r="10" spans="1:16">
      <c r="A10" s="38" t="str">
        <f>'[1]MOM 2026'!A16</f>
        <v>Jericho Griffith</v>
      </c>
      <c r="B10" s="34">
        <f>'[1]MOM 2026'!B16</f>
        <v>514409.6</v>
      </c>
      <c r="C10" s="34">
        <f>'[1]MOM 2026'!C16</f>
        <v>745682.13775364403</v>
      </c>
      <c r="D10" s="34">
        <f>'[1]MOM 2026'!D16</f>
        <v>93118.019434124057</v>
      </c>
      <c r="E10" s="16">
        <f>'[1]MOM 2026'!E16</f>
        <v>0</v>
      </c>
      <c r="F10" s="16">
        <f>'[1]MOM 2026'!F16</f>
        <v>0</v>
      </c>
      <c r="G10" s="16">
        <f>'[1]MOM 2026'!G16</f>
        <v>0</v>
      </c>
      <c r="H10" s="16">
        <f>'[1]MOM 2026'!H16</f>
        <v>0</v>
      </c>
      <c r="I10" s="16">
        <f>'[1]MOM 2026'!I16</f>
        <v>0</v>
      </c>
      <c r="J10" s="16">
        <f>'[1]MOM 2026'!J16</f>
        <v>0</v>
      </c>
      <c r="K10" s="16">
        <f>'[1]MOM 2026'!K16</f>
        <v>0</v>
      </c>
      <c r="L10" s="16">
        <f>'[1]MOM 2026'!L16</f>
        <v>0</v>
      </c>
      <c r="M10" s="16">
        <f>'[1]MOM 2026'!M16</f>
        <v>0</v>
      </c>
      <c r="N10" s="39">
        <f>'[1]MOM 2026'!N16</f>
        <v>676604.87859388406</v>
      </c>
      <c r="O10" s="40">
        <f>'[1]MOM 2026'!O16</f>
        <v>1353209.75718777</v>
      </c>
      <c r="P10" s="41">
        <f>'[1]MOM 2026'!P16</f>
        <v>8119258.5431266101</v>
      </c>
    </row>
    <row r="11" spans="1:16">
      <c r="A11" s="38" t="str">
        <f>'[1]MOM 2026'!A13</f>
        <v>Donovan Wilson</v>
      </c>
      <c r="B11" s="34">
        <f>'[1]MOM 2026'!B13</f>
        <v>378014.87</v>
      </c>
      <c r="C11" s="34">
        <f>'[1]MOM 2026'!C13</f>
        <v>421693.24331294652</v>
      </c>
      <c r="D11" s="34">
        <f>'[1]MOM 2026'!D13</f>
        <v>165973.3233358103</v>
      </c>
      <c r="E11" s="16">
        <f>'[1]MOM 2026'!E13</f>
        <v>0</v>
      </c>
      <c r="F11" s="16">
        <f>'[1]MOM 2026'!F13</f>
        <v>0</v>
      </c>
      <c r="G11" s="16">
        <f>'[1]MOM 2026'!G13</f>
        <v>0</v>
      </c>
      <c r="H11" s="16">
        <f>'[1]MOM 2026'!H13</f>
        <v>0</v>
      </c>
      <c r="I11" s="16">
        <f>'[1]MOM 2026'!I13</f>
        <v>0</v>
      </c>
      <c r="J11" s="16">
        <f>'[1]MOM 2026'!J13</f>
        <v>0</v>
      </c>
      <c r="K11" s="16">
        <f>'[1]MOM 2026'!K13</f>
        <v>0</v>
      </c>
      <c r="L11" s="16">
        <f>'[1]MOM 2026'!L13</f>
        <v>0</v>
      </c>
      <c r="M11" s="16">
        <f>'[1]MOM 2026'!M13</f>
        <v>0</v>
      </c>
      <c r="N11" s="39">
        <f>'[1]MOM 2026'!N13</f>
        <v>482840.71832437842</v>
      </c>
      <c r="O11" s="40">
        <f>'[1]MOM 2026'!O13</f>
        <v>965681.43664875685</v>
      </c>
      <c r="P11" s="41">
        <f>'[1]MOM 2026'!P13</f>
        <v>5794088.6198925404</v>
      </c>
    </row>
    <row r="12" spans="1:16">
      <c r="A12" s="38" t="str">
        <f>'[1]MOM 2026'!A28</f>
        <v>Shirley Reagan</v>
      </c>
      <c r="B12" s="34">
        <f>'[1]MOM 2026'!B28</f>
        <v>0</v>
      </c>
      <c r="C12" s="34">
        <f>'[1]MOM 2026'!C28</f>
        <v>352147.10289797082</v>
      </c>
      <c r="D12" s="34">
        <f>'[1]MOM 2026'!D28</f>
        <v>602359.70649899961</v>
      </c>
      <c r="E12" s="16">
        <f>'[1]MOM 2026'!E28</f>
        <v>0</v>
      </c>
      <c r="F12" s="16">
        <f>'[1]MOM 2026'!F28</f>
        <v>0</v>
      </c>
      <c r="G12" s="16">
        <f>'[1]MOM 2026'!G28</f>
        <v>0</v>
      </c>
      <c r="H12" s="16">
        <f>'[1]MOM 2026'!H28</f>
        <v>0</v>
      </c>
      <c r="I12" s="16">
        <f>'[1]MOM 2026'!I28</f>
        <v>0</v>
      </c>
      <c r="J12" s="16">
        <f>'[1]MOM 2026'!J28</f>
        <v>0</v>
      </c>
      <c r="K12" s="16">
        <f>'[1]MOM 2026'!K28</f>
        <v>0</v>
      </c>
      <c r="L12" s="16">
        <f>'[1]MOM 2026'!L28</f>
        <v>0</v>
      </c>
      <c r="M12" s="16">
        <f>'[1]MOM 2026'!M28</f>
        <v>0</v>
      </c>
      <c r="N12" s="39">
        <f>'[1]MOM 2026'!N28</f>
        <v>477253.40469848522</v>
      </c>
      <c r="O12" s="40">
        <f>'[1]MOM 2026'!O28</f>
        <v>954506.80939697044</v>
      </c>
      <c r="P12" s="41">
        <f>'[1]MOM 2026'!P28</f>
        <v>5727040.8563818196</v>
      </c>
    </row>
    <row r="13" spans="1:16">
      <c r="A13" s="38" t="str">
        <f>'[1]MOM 2026'!A3</f>
        <v>Alana Pirrello</v>
      </c>
      <c r="B13" s="34">
        <f>'[1]MOM 2026'!B3</f>
        <v>280442.25</v>
      </c>
      <c r="C13" s="34">
        <f>'[1]MOM 2026'!C3</f>
        <v>204690.0712418787</v>
      </c>
      <c r="D13" s="34">
        <f>'[1]MOM 2026'!D3</f>
        <v>453860.96014928061</v>
      </c>
      <c r="E13" s="16">
        <f>'[1]MOM 2026'!E3</f>
        <v>0</v>
      </c>
      <c r="F13" s="16">
        <f>'[1]MOM 2026'!F3</f>
        <v>0</v>
      </c>
      <c r="G13" s="16">
        <f>'[1]MOM 2026'!G3</f>
        <v>0</v>
      </c>
      <c r="H13" s="16">
        <f>'[1]MOM 2026'!H3</f>
        <v>0</v>
      </c>
      <c r="I13" s="16">
        <f>'[1]MOM 2026'!I3</f>
        <v>0</v>
      </c>
      <c r="J13" s="16">
        <f>'[1]MOM 2026'!J3</f>
        <v>0</v>
      </c>
      <c r="K13" s="16">
        <f>'[1]MOM 2026'!K3</f>
        <v>0</v>
      </c>
      <c r="L13" s="16">
        <f>'[1]MOM 2026'!L3</f>
        <v>0</v>
      </c>
      <c r="M13" s="16">
        <f>'[1]MOM 2026'!M3</f>
        <v>0</v>
      </c>
      <c r="N13" s="39">
        <f>'[1]MOM 2026'!N3</f>
        <v>469496.64069557958</v>
      </c>
      <c r="O13" s="40">
        <f>'[1]MOM 2026'!O3</f>
        <v>938993.28139115928</v>
      </c>
      <c r="P13" s="41">
        <f>'[1]MOM 2026'!P3</f>
        <v>5633959.6883469597</v>
      </c>
    </row>
    <row r="14" spans="1:16">
      <c r="A14" s="38" t="str">
        <f>'[1]MOM 2026'!A11</f>
        <v>Dave Wright</v>
      </c>
      <c r="B14" s="34">
        <f>'[1]MOM 2026'!B11</f>
        <v>173993.04</v>
      </c>
      <c r="C14" s="34">
        <f>'[1]MOM 2026'!C11</f>
        <v>708863.73249499861</v>
      </c>
      <c r="D14" s="34">
        <f>'[1]MOM 2026'!D11</f>
        <v>52631.018386205571</v>
      </c>
      <c r="E14" s="16">
        <f>'[1]MOM 2026'!E11</f>
        <v>0</v>
      </c>
      <c r="F14" s="16">
        <f>'[1]MOM 2026'!F11</f>
        <v>0</v>
      </c>
      <c r="G14" s="16">
        <f>'[1]MOM 2026'!G11</f>
        <v>0</v>
      </c>
      <c r="H14" s="16">
        <f>'[1]MOM 2026'!H11</f>
        <v>0</v>
      </c>
      <c r="I14" s="16">
        <f>'[1]MOM 2026'!I11</f>
        <v>0</v>
      </c>
      <c r="J14" s="16">
        <f>'[1]MOM 2026'!J11</f>
        <v>0</v>
      </c>
      <c r="K14" s="16">
        <f>'[1]MOM 2026'!K11</f>
        <v>0</v>
      </c>
      <c r="L14" s="16">
        <f>'[1]MOM 2026'!L11</f>
        <v>0</v>
      </c>
      <c r="M14" s="16">
        <f>'[1]MOM 2026'!M11</f>
        <v>0</v>
      </c>
      <c r="N14" s="39">
        <f>'[1]MOM 2026'!N11</f>
        <v>467743.89544060209</v>
      </c>
      <c r="O14" s="40">
        <f>'[1]MOM 2026'!O11</f>
        <v>935487.79088120419</v>
      </c>
      <c r="P14" s="41">
        <f>'[1]MOM 2026'!P11</f>
        <v>5612926.74528722</v>
      </c>
    </row>
    <row r="15" spans="1:16">
      <c r="A15" s="38" t="str">
        <f>'[1]MOM 2026'!A4</f>
        <v>Alex Kanish</v>
      </c>
      <c r="B15" s="34">
        <f>'[1]MOM 2026'!B4</f>
        <v>484511.51</v>
      </c>
      <c r="C15" s="34">
        <f>'[1]MOM 2026'!C4</f>
        <v>377903.77445870242</v>
      </c>
      <c r="D15" s="34">
        <f>'[1]MOM 2026'!D4</f>
        <v>21323.07802229208</v>
      </c>
      <c r="E15" s="16">
        <f>'[1]MOM 2026'!E4</f>
        <v>0</v>
      </c>
      <c r="F15" s="16">
        <f>'[1]MOM 2026'!F4</f>
        <v>0</v>
      </c>
      <c r="G15" s="16">
        <f>'[1]MOM 2026'!G4</f>
        <v>0</v>
      </c>
      <c r="H15" s="16">
        <f>'[1]MOM 2026'!H4</f>
        <v>0</v>
      </c>
      <c r="I15" s="16">
        <f>'[1]MOM 2026'!I4</f>
        <v>0</v>
      </c>
      <c r="J15" s="16">
        <f>'[1]MOM 2026'!J4</f>
        <v>0</v>
      </c>
      <c r="K15" s="16">
        <f>'[1]MOM 2026'!K4</f>
        <v>0</v>
      </c>
      <c r="L15" s="16">
        <f>'[1]MOM 2026'!L4</f>
        <v>0</v>
      </c>
      <c r="M15" s="16">
        <f>'[1]MOM 2026'!M4</f>
        <v>0</v>
      </c>
      <c r="N15" s="39">
        <f>'[1]MOM 2026'!N4</f>
        <v>441869.18124049727</v>
      </c>
      <c r="O15" s="40">
        <f>'[1]MOM 2026'!O4</f>
        <v>883738.36248099455</v>
      </c>
      <c r="P15" s="41">
        <f>'[1]MOM 2026'!P4</f>
        <v>5302430.1748859696</v>
      </c>
    </row>
    <row r="16" spans="1:16">
      <c r="A16" s="38" t="str">
        <f>'[1]MOM 2026'!A30</f>
        <v>Zackary Powers</v>
      </c>
      <c r="B16" s="34">
        <f>'[1]MOM 2026'!B30</f>
        <v>380739.23</v>
      </c>
      <c r="C16" s="34">
        <f>'[1]MOM 2026'!C30</f>
        <v>269705.67304944259</v>
      </c>
      <c r="D16" s="34">
        <f>'[1]MOM 2026'!D30</f>
        <v>78505.344384109747</v>
      </c>
      <c r="E16" s="16">
        <f>'[1]MOM 2026'!E30</f>
        <v>0</v>
      </c>
      <c r="F16" s="16">
        <f>'[1]MOM 2026'!F30</f>
        <v>0</v>
      </c>
      <c r="G16" s="16">
        <f>'[1]MOM 2026'!G30</f>
        <v>0</v>
      </c>
      <c r="H16" s="16">
        <f>'[1]MOM 2026'!H30</f>
        <v>0</v>
      </c>
      <c r="I16" s="16">
        <f>'[1]MOM 2026'!I30</f>
        <v>0</v>
      </c>
      <c r="J16" s="16">
        <f>'[1]MOM 2026'!J30</f>
        <v>0</v>
      </c>
      <c r="K16" s="16">
        <f>'[1]MOM 2026'!K30</f>
        <v>0</v>
      </c>
      <c r="L16" s="16">
        <f>'[1]MOM 2026'!L30</f>
        <v>0</v>
      </c>
      <c r="M16" s="16">
        <f>'[1]MOM 2026'!M30</f>
        <v>0</v>
      </c>
      <c r="N16" s="39">
        <f>'[1]MOM 2026'!N30</f>
        <v>364475.12371677608</v>
      </c>
      <c r="O16" s="40">
        <f>'[1]MOM 2026'!O30</f>
        <v>728950.24743355229</v>
      </c>
      <c r="P16" s="41">
        <f>'[1]MOM 2026'!P30</f>
        <v>4373701.4846013105</v>
      </c>
    </row>
    <row r="17" spans="1:16">
      <c r="A17" s="38" t="str">
        <f>'[1]MOM 2026'!A25</f>
        <v>Sal Obando</v>
      </c>
      <c r="B17" s="34">
        <f>'[1]MOM 2026'!B25</f>
        <v>168894.74</v>
      </c>
      <c r="C17" s="34">
        <f>'[1]MOM 2026'!C25</f>
        <v>267368.13851576642</v>
      </c>
      <c r="D17" s="34">
        <f>'[1]MOM 2026'!D25</f>
        <v>189558.8882537868</v>
      </c>
      <c r="E17" s="16">
        <f>'[1]MOM 2026'!E25</f>
        <v>0</v>
      </c>
      <c r="F17" s="16">
        <f>'[1]MOM 2026'!F25</f>
        <v>0</v>
      </c>
      <c r="G17" s="16">
        <f>'[1]MOM 2026'!G25</f>
        <v>0</v>
      </c>
      <c r="H17" s="16">
        <f>'[1]MOM 2026'!H25</f>
        <v>0</v>
      </c>
      <c r="I17" s="16">
        <f>'[1]MOM 2026'!I25</f>
        <v>0</v>
      </c>
      <c r="J17" s="16">
        <f>'[1]MOM 2026'!J25</f>
        <v>0</v>
      </c>
      <c r="K17" s="16">
        <f>'[1]MOM 2026'!K25</f>
        <v>0</v>
      </c>
      <c r="L17" s="16">
        <f>'[1]MOM 2026'!L25</f>
        <v>0</v>
      </c>
      <c r="M17" s="16">
        <f>'[1]MOM 2026'!M25</f>
        <v>0</v>
      </c>
      <c r="N17" s="39">
        <f>'[1]MOM 2026'!N25</f>
        <v>312910.88338477648</v>
      </c>
      <c r="O17" s="40">
        <f>'[1]MOM 2026'!O25</f>
        <v>625821.76676955319</v>
      </c>
      <c r="P17" s="41">
        <f>'[1]MOM 2026'!P25</f>
        <v>3754930.6006173198</v>
      </c>
    </row>
    <row r="18" spans="1:16">
      <c r="A18" s="38" t="str">
        <f>'[1]MOM 2026'!A17</f>
        <v>John Wyshak</v>
      </c>
      <c r="B18" s="34">
        <f>'[1]MOM 2026'!B17</f>
        <v>322192.59000000003</v>
      </c>
      <c r="C18" s="34">
        <f>'[1]MOM 2026'!C17</f>
        <v>149203.0723063733</v>
      </c>
      <c r="D18" s="34">
        <f>'[1]MOM 2026'!D17</f>
        <v>93165.790225778779</v>
      </c>
      <c r="E18" s="16">
        <f>'[1]MOM 2026'!E17</f>
        <v>0</v>
      </c>
      <c r="F18" s="16">
        <f>'[1]MOM 2026'!F17</f>
        <v>0</v>
      </c>
      <c r="G18" s="16">
        <f>'[1]MOM 2026'!G17</f>
        <v>0</v>
      </c>
      <c r="H18" s="16">
        <f>'[1]MOM 2026'!H17</f>
        <v>0</v>
      </c>
      <c r="I18" s="16">
        <f>'[1]MOM 2026'!I17</f>
        <v>0</v>
      </c>
      <c r="J18" s="16">
        <f>'[1]MOM 2026'!J17</f>
        <v>0</v>
      </c>
      <c r="K18" s="16">
        <f>'[1]MOM 2026'!K17</f>
        <v>0</v>
      </c>
      <c r="L18" s="16">
        <f>'[1]MOM 2026'!L17</f>
        <v>0</v>
      </c>
      <c r="M18" s="16">
        <f>'[1]MOM 2026'!M17</f>
        <v>0</v>
      </c>
      <c r="N18" s="39">
        <f>'[1]MOM 2026'!N17</f>
        <v>282280.72626607609</v>
      </c>
      <c r="O18" s="40">
        <f>'[1]MOM 2026'!O17</f>
        <v>564561.45253215218</v>
      </c>
      <c r="P18" s="41">
        <f>'[1]MOM 2026'!P17</f>
        <v>3387368.7151929098</v>
      </c>
    </row>
    <row r="19" spans="1:16">
      <c r="A19" s="38" t="str">
        <f>'[1]MOM 2026'!A5</f>
        <v>Angie Richards</v>
      </c>
      <c r="B19" s="34">
        <f>'[1]MOM 2026'!B5</f>
        <v>125772.13</v>
      </c>
      <c r="C19" s="34">
        <f>'[1]MOM 2026'!C5</f>
        <v>153723.29236924829</v>
      </c>
      <c r="D19" s="34">
        <f>'[1]MOM 2026'!D5</f>
        <v>283349.09974278382</v>
      </c>
      <c r="E19" s="16">
        <f>'[1]MOM 2026'!E5</f>
        <v>0</v>
      </c>
      <c r="F19" s="16">
        <f>'[1]MOM 2026'!F5</f>
        <v>0</v>
      </c>
      <c r="G19" s="16">
        <f>'[1]MOM 2026'!G5</f>
        <v>0</v>
      </c>
      <c r="H19" s="16">
        <f>'[1]MOM 2026'!H5</f>
        <v>0</v>
      </c>
      <c r="I19" s="16">
        <f>'[1]MOM 2026'!I5</f>
        <v>0</v>
      </c>
      <c r="J19" s="16">
        <f>'[1]MOM 2026'!J5</f>
        <v>0</v>
      </c>
      <c r="K19" s="16">
        <f>'[1]MOM 2026'!K5</f>
        <v>0</v>
      </c>
      <c r="L19" s="16">
        <f>'[1]MOM 2026'!L5</f>
        <v>0</v>
      </c>
      <c r="M19" s="16">
        <f>'[1]MOM 2026'!M5</f>
        <v>0</v>
      </c>
      <c r="N19" s="39">
        <f>'[1]MOM 2026'!N5</f>
        <v>281422.26105601608</v>
      </c>
      <c r="O19" s="40">
        <f>'[1]MOM 2026'!O5</f>
        <v>562844.52211203217</v>
      </c>
      <c r="P19" s="41">
        <f>'[1]MOM 2026'!P5</f>
        <v>3377067.1326721902</v>
      </c>
    </row>
    <row r="20" spans="1:16">
      <c r="A20" s="38" t="str">
        <f>'[1]MOM 2026'!A22</f>
        <v>Reginald Davis</v>
      </c>
      <c r="B20" s="34">
        <f>'[1]MOM 2026'!B22</f>
        <v>256551.04000000001</v>
      </c>
      <c r="C20" s="34">
        <f>'[1]MOM 2026'!C22</f>
        <v>195769.7627893684</v>
      </c>
      <c r="D20" s="34">
        <f>'[1]MOM 2026'!D22</f>
        <v>96956.044584166899</v>
      </c>
      <c r="E20" s="16">
        <f>'[1]MOM 2026'!E22</f>
        <v>0</v>
      </c>
      <c r="F20" s="16">
        <f>'[1]MOM 2026'!F22</f>
        <v>0</v>
      </c>
      <c r="G20" s="16">
        <f>'[1]MOM 2026'!G22</f>
        <v>0</v>
      </c>
      <c r="H20" s="16">
        <f>'[1]MOM 2026'!H22</f>
        <v>0</v>
      </c>
      <c r="I20" s="16">
        <f>'[1]MOM 2026'!I22</f>
        <v>0</v>
      </c>
      <c r="J20" s="16">
        <f>'[1]MOM 2026'!J22</f>
        <v>0</v>
      </c>
      <c r="K20" s="16">
        <f>'[1]MOM 2026'!K22</f>
        <v>0</v>
      </c>
      <c r="L20" s="16">
        <f>'[1]MOM 2026'!L22</f>
        <v>0</v>
      </c>
      <c r="M20" s="16">
        <f>'[1]MOM 2026'!M22</f>
        <v>0</v>
      </c>
      <c r="N20" s="39">
        <f>'[1]MOM 2026'!N22</f>
        <v>274638.42368676758</v>
      </c>
      <c r="O20" s="40">
        <f>'[1]MOM 2026'!O22</f>
        <v>549276.84737353527</v>
      </c>
      <c r="P20" s="41">
        <f>'[1]MOM 2026'!P22</f>
        <v>3295661.08424121</v>
      </c>
    </row>
    <row r="21" spans="1:16">
      <c r="A21" s="38" t="str">
        <f>'[1]MOM 2026'!A6</f>
        <v>Beverly Danes</v>
      </c>
      <c r="B21" s="34">
        <f>'[1]MOM 2026'!B6</f>
        <v>179187.65</v>
      </c>
      <c r="C21" s="34">
        <f>'[1]MOM 2026'!C6</f>
        <v>209055.19810317241</v>
      </c>
      <c r="D21" s="34">
        <f>'[1]MOM 2026'!D6</f>
        <v>24793.255215775949</v>
      </c>
      <c r="E21" s="16">
        <f>'[1]MOM 2026'!E6</f>
        <v>0</v>
      </c>
      <c r="F21" s="16">
        <f>'[1]MOM 2026'!F6</f>
        <v>0</v>
      </c>
      <c r="G21" s="16">
        <f>'[1]MOM 2026'!G6</f>
        <v>0</v>
      </c>
      <c r="H21" s="16">
        <f>'[1]MOM 2026'!H6</f>
        <v>0</v>
      </c>
      <c r="I21" s="16">
        <f>'[1]MOM 2026'!I6</f>
        <v>0</v>
      </c>
      <c r="J21" s="16">
        <f>'[1]MOM 2026'!J6</f>
        <v>0</v>
      </c>
      <c r="K21" s="16">
        <f>'[1]MOM 2026'!K6</f>
        <v>0</v>
      </c>
      <c r="L21" s="16">
        <f>'[1]MOM 2026'!L6</f>
        <v>0</v>
      </c>
      <c r="M21" s="16">
        <f>'[1]MOM 2026'!M6</f>
        <v>0</v>
      </c>
      <c r="N21" s="39">
        <f>'[1]MOM 2026'!N6</f>
        <v>206518.05165947409</v>
      </c>
      <c r="O21" s="40">
        <f>'[1]MOM 2026'!O6</f>
        <v>413036.1033189483</v>
      </c>
      <c r="P21" s="41">
        <f>'[1]MOM 2026'!P6</f>
        <v>2478216.6199136898</v>
      </c>
    </row>
    <row r="22" spans="1:16">
      <c r="A22" s="38" t="str">
        <f>'[1]MOM 2026'!A7</f>
        <v>Brittany Durroh</v>
      </c>
      <c r="B22" s="34">
        <f>'[1]MOM 2026'!B7</f>
        <v>82864.639999999999</v>
      </c>
      <c r="C22" s="34">
        <f>'[1]MOM 2026'!C7</f>
        <v>218057.15918833949</v>
      </c>
      <c r="D22" s="34">
        <f>'[1]MOM 2026'!D7</f>
        <v>48533.438125178611</v>
      </c>
      <c r="E22" s="16">
        <f>'[1]MOM 2026'!E7</f>
        <v>0</v>
      </c>
      <c r="F22" s="16">
        <f>'[1]MOM 2026'!F7</f>
        <v>0</v>
      </c>
      <c r="G22" s="16">
        <f>'[1]MOM 2026'!G7</f>
        <v>0</v>
      </c>
      <c r="H22" s="16">
        <f>'[1]MOM 2026'!H7</f>
        <v>0</v>
      </c>
      <c r="I22" s="16">
        <f>'[1]MOM 2026'!I7</f>
        <v>0</v>
      </c>
      <c r="J22" s="16">
        <f>'[1]MOM 2026'!J7</f>
        <v>0</v>
      </c>
      <c r="K22" s="16">
        <f>'[1]MOM 2026'!K7</f>
        <v>0</v>
      </c>
      <c r="L22" s="16">
        <f>'[1]MOM 2026'!L7</f>
        <v>0</v>
      </c>
      <c r="M22" s="16">
        <f>'[1]MOM 2026'!M7</f>
        <v>0</v>
      </c>
      <c r="N22" s="39">
        <f>'[1]MOM 2026'!N7</f>
        <v>174727.61865675909</v>
      </c>
      <c r="O22" s="40">
        <f>'[1]MOM 2026'!O7</f>
        <v>349455.23731351813</v>
      </c>
      <c r="P22" s="41">
        <f>'[1]MOM 2026'!P7</f>
        <v>2096731.42388111</v>
      </c>
    </row>
    <row r="23" spans="1:16">
      <c r="A23" s="38" t="str">
        <f>'[1]MOM 2026'!A18</f>
        <v>Katharine Boston</v>
      </c>
      <c r="B23" s="34">
        <f>'[1]MOM 2026'!B18</f>
        <v>74616.460000000006</v>
      </c>
      <c r="C23" s="34">
        <f>'[1]MOM 2026'!C18</f>
        <v>118972.5403320949</v>
      </c>
      <c r="D23" s="34">
        <f>'[1]MOM 2026'!D18</f>
        <v>22907.70458759645</v>
      </c>
      <c r="E23" s="16">
        <f>'[1]MOM 2026'!E18</f>
        <v>0</v>
      </c>
      <c r="F23" s="16">
        <f>'[1]MOM 2026'!F18</f>
        <v>0</v>
      </c>
      <c r="G23" s="16">
        <f>'[1]MOM 2026'!G18</f>
        <v>0</v>
      </c>
      <c r="H23" s="16">
        <f>'[1]MOM 2026'!H18</f>
        <v>0</v>
      </c>
      <c r="I23" s="16">
        <f>'[1]MOM 2026'!I18</f>
        <v>0</v>
      </c>
      <c r="J23" s="16">
        <f>'[1]MOM 2026'!J18</f>
        <v>0</v>
      </c>
      <c r="K23" s="16">
        <f>'[1]MOM 2026'!K18</f>
        <v>0</v>
      </c>
      <c r="L23" s="16">
        <f>'[1]MOM 2026'!L18</f>
        <v>0</v>
      </c>
      <c r="M23" s="16">
        <f>'[1]MOM 2026'!M18</f>
        <v>0</v>
      </c>
      <c r="N23" s="39">
        <f>'[1]MOM 2026'!N18</f>
        <v>108248.3524598457</v>
      </c>
      <c r="O23" s="40">
        <f>'[1]MOM 2026'!O18</f>
        <v>216496.70491969131</v>
      </c>
      <c r="P23" s="41">
        <f>'[1]MOM 2026'!P18</f>
        <v>1298980.22951815</v>
      </c>
    </row>
    <row r="24" spans="1:16">
      <c r="A24" s="38" t="str">
        <f>'[1]MOM 2026'!A26</f>
        <v>Sean Porrazzo</v>
      </c>
      <c r="B24" s="34">
        <f>'[1]MOM 2026'!B26</f>
        <v>3803.13</v>
      </c>
      <c r="C24" s="34">
        <f>'[1]MOM 2026'!C26</f>
        <v>10245.3701057445</v>
      </c>
      <c r="D24" s="34">
        <f>'[1]MOM 2026'!D26</f>
        <v>133524.749928551</v>
      </c>
      <c r="E24" s="16">
        <f>'[1]MOM 2026'!E26</f>
        <v>0</v>
      </c>
      <c r="F24" s="16">
        <f>'[1]MOM 2026'!F26</f>
        <v>0</v>
      </c>
      <c r="G24" s="16">
        <f>'[1]MOM 2026'!G26</f>
        <v>0</v>
      </c>
      <c r="H24" s="16">
        <f>'[1]MOM 2026'!H26</f>
        <v>0</v>
      </c>
      <c r="I24" s="16">
        <f>'[1]MOM 2026'!I26</f>
        <v>0</v>
      </c>
      <c r="J24" s="16">
        <f>'[1]MOM 2026'!J26</f>
        <v>0</v>
      </c>
      <c r="K24" s="16">
        <f>'[1]MOM 2026'!K26</f>
        <v>0</v>
      </c>
      <c r="L24" s="16">
        <f>'[1]MOM 2026'!L26</f>
        <v>0</v>
      </c>
      <c r="M24" s="16">
        <f>'[1]MOM 2026'!M26</f>
        <v>0</v>
      </c>
      <c r="N24" s="39">
        <f>'[1]MOM 2026'!N26</f>
        <v>73786.625017147744</v>
      </c>
      <c r="O24" s="40">
        <f>'[1]MOM 2026'!O26</f>
        <v>147573.25003429549</v>
      </c>
      <c r="P24" s="41">
        <f>'[1]MOM 2026'!P26</f>
        <v>885439.50020577305</v>
      </c>
    </row>
    <row r="25" spans="1:16">
      <c r="A25" s="38" t="str">
        <f>'[1]MOM 2026'!A20</f>
        <v>Nick Belvis</v>
      </c>
      <c r="B25" s="34">
        <f>'[1]MOM 2026'!B20</f>
        <v>0</v>
      </c>
      <c r="C25" s="34">
        <f>'[1]MOM 2026'!C20</f>
        <v>0</v>
      </c>
      <c r="D25" s="34">
        <f>'[1]MOM 2026'!D20</f>
        <v>134143.46956273229</v>
      </c>
      <c r="E25" s="16">
        <f>'[1]MOM 2026'!E20</f>
        <v>0</v>
      </c>
      <c r="F25" s="16">
        <f>'[1]MOM 2026'!F20</f>
        <v>0</v>
      </c>
      <c r="G25" s="16">
        <f>'[1]MOM 2026'!G20</f>
        <v>0</v>
      </c>
      <c r="H25" s="16">
        <f>'[1]MOM 2026'!H20</f>
        <v>0</v>
      </c>
      <c r="I25" s="16">
        <f>'[1]MOM 2026'!I20</f>
        <v>0</v>
      </c>
      <c r="J25" s="16">
        <f>'[1]MOM 2026'!J20</f>
        <v>0</v>
      </c>
      <c r="K25" s="16">
        <f>'[1]MOM 2026'!K20</f>
        <v>0</v>
      </c>
      <c r="L25" s="16">
        <f>'[1]MOM 2026'!L20</f>
        <v>0</v>
      </c>
      <c r="M25" s="16">
        <f>'[1]MOM 2026'!M20</f>
        <v>0</v>
      </c>
      <c r="N25" s="39">
        <f>'[1]MOM 2026'!N20</f>
        <v>67071.734781366147</v>
      </c>
      <c r="O25" s="40">
        <f>'[1]MOM 2026'!O20</f>
        <v>134143.46956273229</v>
      </c>
      <c r="P25" s="41">
        <f>'[1]MOM 2026'!P20</f>
        <v>804860.81737639382</v>
      </c>
    </row>
    <row r="26" spans="1:16">
      <c r="A26" s="38" t="str">
        <f>'[1]MOM 2026'!A29</f>
        <v>Tanner Brooks</v>
      </c>
      <c r="B26" s="34">
        <f>'[1]MOM 2026'!B29</f>
        <v>13927.04</v>
      </c>
      <c r="C26" s="34">
        <f>'[1]MOM 2026'!C29</f>
        <v>25478.65104315518</v>
      </c>
      <c r="D26" s="34">
        <f>'[1]MOM 2026'!D29</f>
        <v>64627.665047156333</v>
      </c>
      <c r="E26" s="16">
        <f>'[1]MOM 2026'!E29</f>
        <v>0</v>
      </c>
      <c r="F26" s="16">
        <f>'[1]MOM 2026'!F29</f>
        <v>0</v>
      </c>
      <c r="G26" s="16">
        <f>'[1]MOM 2026'!G29</f>
        <v>0</v>
      </c>
      <c r="H26" s="16">
        <f>'[1]MOM 2026'!H29</f>
        <v>0</v>
      </c>
      <c r="I26" s="16">
        <f>'[1]MOM 2026'!I29</f>
        <v>0</v>
      </c>
      <c r="J26" s="16">
        <f>'[1]MOM 2026'!J29</f>
        <v>0</v>
      </c>
      <c r="K26" s="16">
        <f>'[1]MOM 2026'!K29</f>
        <v>0</v>
      </c>
      <c r="L26" s="16">
        <f>'[1]MOM 2026'!L29</f>
        <v>0</v>
      </c>
      <c r="M26" s="16">
        <f>'[1]MOM 2026'!M29</f>
        <v>0</v>
      </c>
      <c r="N26" s="39">
        <f>'[1]MOM 2026'!N29</f>
        <v>52016.678045155757</v>
      </c>
      <c r="O26" s="40">
        <f>'[1]MOM 2026'!O29</f>
        <v>104033.3560903115</v>
      </c>
      <c r="P26" s="41">
        <f>'[1]MOM 2026'!P29</f>
        <v>624200.13654186903</v>
      </c>
    </row>
    <row r="27" spans="1:16">
      <c r="A27" s="38" t="str">
        <f>'[1]MOM 2026'!A10</f>
        <v>Chad Keene</v>
      </c>
      <c r="B27" s="34">
        <f>'[1]MOM 2026'!B10</f>
        <v>0</v>
      </c>
      <c r="C27" s="34">
        <f>'[1]MOM 2026'!C10</f>
        <v>38630.95170048585</v>
      </c>
      <c r="D27" s="34">
        <f>'[1]MOM 2026'!D10</f>
        <v>45106.78765361532</v>
      </c>
      <c r="E27" s="16">
        <f>'[1]MOM 2026'!E10</f>
        <v>0</v>
      </c>
      <c r="F27" s="16">
        <f>'[1]MOM 2026'!F10</f>
        <v>0</v>
      </c>
      <c r="G27" s="16">
        <f>'[1]MOM 2026'!G10</f>
        <v>0</v>
      </c>
      <c r="H27" s="16">
        <f>'[1]MOM 2026'!H10</f>
        <v>0</v>
      </c>
      <c r="I27" s="16">
        <f>'[1]MOM 2026'!I10</f>
        <v>0</v>
      </c>
      <c r="J27" s="16">
        <f>'[1]MOM 2026'!J10</f>
        <v>0</v>
      </c>
      <c r="K27" s="16">
        <f>'[1]MOM 2026'!K10</f>
        <v>0</v>
      </c>
      <c r="L27" s="16">
        <f>'[1]MOM 2026'!L10</f>
        <v>0</v>
      </c>
      <c r="M27" s="16">
        <f>'[1]MOM 2026'!M10</f>
        <v>0</v>
      </c>
      <c r="N27" s="39">
        <f>'[1]MOM 2026'!N10</f>
        <v>41868.869677050578</v>
      </c>
      <c r="O27" s="40">
        <f>'[1]MOM 2026'!O10</f>
        <v>83737.739354101155</v>
      </c>
      <c r="P27" s="41">
        <f>'[1]MOM 2026'!P10</f>
        <v>502426.43612460699</v>
      </c>
    </row>
    <row r="28" spans="1:16">
      <c r="A28" s="38" t="str">
        <f>'[1]MOM 2026'!A23</f>
        <v>Ryan Morris</v>
      </c>
      <c r="B28" s="34">
        <f>'[1]MOM 2026'!B23</f>
        <v>0</v>
      </c>
      <c r="C28" s="34">
        <f>'[1]MOM 2026'!C23</f>
        <v>19959.316947699339</v>
      </c>
      <c r="D28" s="34">
        <f>'[1]MOM 2026'!D23</f>
        <v>62219.677050585888</v>
      </c>
      <c r="E28" s="16">
        <f>'[1]MOM 2026'!E23</f>
        <v>0</v>
      </c>
      <c r="F28" s="16">
        <f>'[1]MOM 2026'!F23</f>
        <v>0</v>
      </c>
      <c r="G28" s="16">
        <f>'[1]MOM 2026'!G23</f>
        <v>0</v>
      </c>
      <c r="H28" s="16">
        <f>'[1]MOM 2026'!H23</f>
        <v>0</v>
      </c>
      <c r="I28" s="16">
        <f>'[1]MOM 2026'!I23</f>
        <v>0</v>
      </c>
      <c r="J28" s="16">
        <f>'[1]MOM 2026'!J23</f>
        <v>0</v>
      </c>
      <c r="K28" s="16">
        <f>'[1]MOM 2026'!K23</f>
        <v>0</v>
      </c>
      <c r="L28" s="16">
        <f>'[1]MOM 2026'!L23</f>
        <v>0</v>
      </c>
      <c r="M28" s="16">
        <f>'[1]MOM 2026'!M23</f>
        <v>0</v>
      </c>
      <c r="N28" s="39">
        <f>'[1]MOM 2026'!N23</f>
        <v>41089.496999142611</v>
      </c>
      <c r="O28" s="40">
        <f>'[1]MOM 2026'!O23</f>
        <v>82178.993998285223</v>
      </c>
      <c r="P28" s="41">
        <f>'[1]MOM 2026'!P23</f>
        <v>493073.96398971131</v>
      </c>
    </row>
    <row r="29" spans="1:16">
      <c r="A29" s="38" t="str">
        <f>'[1]MOM 2026'!A14</f>
        <v>Eric Plotkin</v>
      </c>
      <c r="B29" s="34">
        <f>'[1]MOM 2026'!B14</f>
        <v>0</v>
      </c>
      <c r="C29" s="34">
        <f>'[1]MOM 2026'!C14</f>
        <v>55865.261503286652</v>
      </c>
      <c r="D29" s="34">
        <f>'[1]MOM 2026'!D14</f>
        <v>1431.5518719634169</v>
      </c>
      <c r="E29" s="16">
        <f>'[1]MOM 2026'!E14</f>
        <v>0</v>
      </c>
      <c r="F29" s="16">
        <f>'[1]MOM 2026'!F14</f>
        <v>0</v>
      </c>
      <c r="G29" s="16">
        <f>'[1]MOM 2026'!G14</f>
        <v>0</v>
      </c>
      <c r="H29" s="16">
        <f>'[1]MOM 2026'!H14</f>
        <v>0</v>
      </c>
      <c r="I29" s="16">
        <f>'[1]MOM 2026'!I14</f>
        <v>0</v>
      </c>
      <c r="J29" s="16">
        <f>'[1]MOM 2026'!J14</f>
        <v>0</v>
      </c>
      <c r="K29" s="16">
        <f>'[1]MOM 2026'!K14</f>
        <v>0</v>
      </c>
      <c r="L29" s="16">
        <f>'[1]MOM 2026'!L14</f>
        <v>0</v>
      </c>
      <c r="M29" s="16">
        <f>'[1]MOM 2026'!M14</f>
        <v>0</v>
      </c>
      <c r="N29" s="39">
        <f>'[1]MOM 2026'!N14</f>
        <v>28648.40668762504</v>
      </c>
      <c r="O29" s="40">
        <f>'[1]MOM 2026'!O14</f>
        <v>57296.813375250073</v>
      </c>
      <c r="P29" s="41">
        <f>'[1]MOM 2026'!P14</f>
        <v>343780.88025150041</v>
      </c>
    </row>
    <row r="30" spans="1:16">
      <c r="A30" s="42" t="str">
        <f>'[1]MOM 2026'!A12</f>
        <v>David Knox</v>
      </c>
      <c r="B30" s="43">
        <f>'[1]MOM 2026'!B12</f>
        <v>0</v>
      </c>
      <c r="C30" s="43">
        <f>'[1]MOM 2026'!C12</f>
        <v>1714.061160331524</v>
      </c>
      <c r="D30" s="43">
        <f>'[1]MOM 2026'!D12</f>
        <v>1649.2426407545011</v>
      </c>
      <c r="E30" s="44">
        <f>'[1]MOM 2026'!E12</f>
        <v>0</v>
      </c>
      <c r="F30" s="44">
        <f>'[1]MOM 2026'!F12</f>
        <v>0</v>
      </c>
      <c r="G30" s="44">
        <f>'[1]MOM 2026'!G12</f>
        <v>0</v>
      </c>
      <c r="H30" s="44">
        <f>'[1]MOM 2026'!H12</f>
        <v>0</v>
      </c>
      <c r="I30" s="44">
        <f>'[1]MOM 2026'!I12</f>
        <v>0</v>
      </c>
      <c r="J30" s="44">
        <f>'[1]MOM 2026'!J12</f>
        <v>0</v>
      </c>
      <c r="K30" s="44">
        <f>'[1]MOM 2026'!K12</f>
        <v>0</v>
      </c>
      <c r="L30" s="44">
        <f>'[1]MOM 2026'!L12</f>
        <v>0</v>
      </c>
      <c r="M30" s="44">
        <f>'[1]MOM 2026'!M12</f>
        <v>0</v>
      </c>
      <c r="N30" s="45">
        <f>'[1]MOM 2026'!N12</f>
        <v>1681.651900543013</v>
      </c>
      <c r="O30" s="46">
        <f>'[1]MOM 2026'!O12</f>
        <v>3363.303801086025</v>
      </c>
      <c r="P30" s="47">
        <f>'[1]MOM 2026'!P12</f>
        <v>20179.822806516149</v>
      </c>
    </row>
    <row r="31" spans="1:16">
      <c r="A31" s="70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4"/>
      <c r="O31" s="64"/>
      <c r="P31" s="66"/>
    </row>
    <row r="32" spans="1:16">
      <c r="A32" s="69" t="str">
        <f>'[1]MOM 2026'!A32</f>
        <v>Company Total</v>
      </c>
      <c r="B32" s="67">
        <f>'[1]MOM 2026'!B32</f>
        <v>13644901.060000001</v>
      </c>
      <c r="C32" s="67">
        <f>'[1]MOM 2026'!C32</f>
        <v>15662894.263404701</v>
      </c>
      <c r="D32" s="67">
        <f>'[1]MOM 2026'!D32</f>
        <v>7244075.1642820798</v>
      </c>
      <c r="E32" s="67">
        <f>'[1]MOM 2026'!E32</f>
        <v>0</v>
      </c>
      <c r="F32" s="67">
        <f>'[1]MOM 2026'!F32</f>
        <v>0</v>
      </c>
      <c r="G32" s="67">
        <f>'[1]MOM 2026'!G32</f>
        <v>0</v>
      </c>
      <c r="H32" s="67">
        <f>'[1]MOM 2026'!H32</f>
        <v>0</v>
      </c>
      <c r="I32" s="67">
        <f>'[1]MOM 2026'!I32</f>
        <v>0</v>
      </c>
      <c r="J32" s="67">
        <f>'[1]MOM 2026'!J32</f>
        <v>0</v>
      </c>
      <c r="K32" s="67">
        <f>'[1]MOM 2026'!K32</f>
        <v>0</v>
      </c>
      <c r="L32" s="67">
        <f>'[1]MOM 2026'!L32</f>
        <v>0</v>
      </c>
      <c r="M32" s="67">
        <f>'[1]MOM 2026'!M32</f>
        <v>0</v>
      </c>
      <c r="N32" s="67">
        <f>'[1]MOM 2026'!N32</f>
        <v>12183956.8292289</v>
      </c>
      <c r="O32" s="67">
        <f>'[1]MOM 2026'!O32</f>
        <v>36551870.487686798</v>
      </c>
      <c r="P32" s="68">
        <f>'[1]MOM 2026'!P32</f>
        <v>146207481.95074701</v>
      </c>
    </row>
  </sheetData>
  <sheetProtection sheet="1" objects="1" scenarios="1"/>
  <autoFilter ref="A1:P24" xr:uid="{42D38CF2-9DD8-4A92-B13E-6D03BC752FA6}">
    <sortState xmlns:xlrd2="http://schemas.microsoft.com/office/spreadsheetml/2017/richdata2" ref="A2:P30">
      <sortCondition descending="1" ref="N1:N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8D3A-CA0F-4C38-903F-7F3E7582067D}">
  <dimension ref="A1:P32"/>
  <sheetViews>
    <sheetView topLeftCell="A8" workbookViewId="0">
      <selection activeCell="L32" sqref="L32"/>
    </sheetView>
  </sheetViews>
  <sheetFormatPr defaultRowHeight="15"/>
  <cols>
    <col min="1" max="1" width="17.85546875" bestFit="1" customWidth="1"/>
    <col min="2" max="2" width="14.28515625" bestFit="1" customWidth="1"/>
    <col min="3" max="3" width="15.28515625" bestFit="1" customWidth="1"/>
    <col min="4" max="4" width="14.28515625" bestFit="1" customWidth="1"/>
    <col min="5" max="5" width="15.28515625" bestFit="1" customWidth="1"/>
    <col min="6" max="9" width="14.28515625" bestFit="1" customWidth="1"/>
    <col min="10" max="12" width="15.28515625" bestFit="1" customWidth="1"/>
    <col min="13" max="13" width="14.28515625" bestFit="1" customWidth="1"/>
    <col min="14" max="14" width="16.42578125" bestFit="1" customWidth="1"/>
    <col min="15" max="15" width="16.28515625" bestFit="1" customWidth="1"/>
    <col min="16" max="16" width="18.5703125" bestFit="1" customWidth="1"/>
  </cols>
  <sheetData>
    <row r="1" spans="1:16">
      <c r="A1" s="48">
        <f>'[1]MOM 2025'!A1</f>
        <v>2025</v>
      </c>
      <c r="B1" s="49" t="str">
        <f>'[1]MOM 2025'!B1</f>
        <v>January</v>
      </c>
      <c r="C1" s="49" t="str">
        <f>'[1]MOM 2025'!C1</f>
        <v>February</v>
      </c>
      <c r="D1" s="49" t="str">
        <f>'[1]MOM 2025'!D1</f>
        <v>March</v>
      </c>
      <c r="E1" s="49" t="str">
        <f>'[1]MOM 2025'!E1</f>
        <v>April</v>
      </c>
      <c r="F1" s="49" t="str">
        <f>'[1]MOM 2025'!F1</f>
        <v>May</v>
      </c>
      <c r="G1" s="49" t="str">
        <f>'[1]MOM 2025'!G1</f>
        <v>June</v>
      </c>
      <c r="H1" s="49" t="str">
        <f>'[1]MOM 2025'!H1</f>
        <v>July</v>
      </c>
      <c r="I1" s="49" t="str">
        <f>'[1]MOM 2025'!I1</f>
        <v>August</v>
      </c>
      <c r="J1" s="49" t="str">
        <f>'[1]MOM 2025'!J1</f>
        <v>September</v>
      </c>
      <c r="K1" s="49" t="str">
        <f>'[1]MOM 2025'!K1</f>
        <v>October</v>
      </c>
      <c r="L1" s="49" t="str">
        <f>'[1]MOM 2025'!L1</f>
        <v>November</v>
      </c>
      <c r="M1" s="49" t="str">
        <f>'[1]MOM 2025'!M1</f>
        <v>December</v>
      </c>
      <c r="N1" s="49" t="str">
        <f>'[1]MOM 2025'!N1</f>
        <v>Monthly Average</v>
      </c>
      <c r="O1" s="49" t="e">
        <f>'[1]MOM 2025'!O1</f>
        <v>#REF!</v>
      </c>
      <c r="P1" s="50" t="str">
        <f>'[1]MOM 2025'!P1</f>
        <v>Year End Projection</v>
      </c>
    </row>
    <row r="2" spans="1:16">
      <c r="A2" s="38" t="str">
        <f>'[1]MOM 2025'!A2</f>
        <v>Aaron Crossman</v>
      </c>
      <c r="B2" s="34">
        <f>'[1]MOM 2025'!B2</f>
        <v>97976.79</v>
      </c>
      <c r="C2" s="34">
        <f>'[1]MOM 2025'!C2</f>
        <v>809385.54249262321</v>
      </c>
      <c r="D2" s="34">
        <f>'[1]MOM 2025'!D2</f>
        <v>2556404.7886971701</v>
      </c>
      <c r="E2" s="34">
        <f>'[1]MOM 2025'!E2</f>
        <v>3651059.2728062002</v>
      </c>
      <c r="F2" s="34">
        <f>'[1]MOM 2025'!F2</f>
        <v>2565535.0066276598</v>
      </c>
      <c r="G2" s="34">
        <f>'[1]MOM 2025'!G2</f>
        <v>2413888.6064852802</v>
      </c>
      <c r="H2" s="34">
        <f>'[1]MOM 2025'!H2</f>
        <v>2868444.5823538201</v>
      </c>
      <c r="I2" s="34">
        <f>'[1]MOM 2025'!I2</f>
        <v>394214.83280937409</v>
      </c>
      <c r="J2" s="34">
        <f>'[1]MOM 2025'!J2</f>
        <v>1560890.0685910301</v>
      </c>
      <c r="K2" s="34">
        <f>'[1]MOM 2025'!K2</f>
        <v>3766877.4309681798</v>
      </c>
      <c r="L2" s="34">
        <f>'[1]MOM 2025'!L2</f>
        <v>2674291.7921102201</v>
      </c>
      <c r="M2" s="34">
        <f>'[1]MOM 2025'!M2</f>
        <v>237412.13</v>
      </c>
      <c r="N2" s="39">
        <f>'[1]MOM 2025'!N2</f>
        <v>1966365.0703284601</v>
      </c>
      <c r="O2" s="40">
        <f>'[1]MOM 2025'!O2</f>
        <v>23596380.843941599</v>
      </c>
      <c r="P2" s="41">
        <f>'[1]MOM 2025'!P2</f>
        <v>23596380.843941599</v>
      </c>
    </row>
    <row r="3" spans="1:16">
      <c r="A3" s="38" t="str">
        <f>'[1]MOM 2025'!A28</f>
        <v>Shirley Reagan</v>
      </c>
      <c r="B3" s="34">
        <f>'[1]MOM 2025'!B28</f>
        <v>568359.21</v>
      </c>
      <c r="C3" s="34">
        <f>'[1]MOM 2025'!C28</f>
        <v>1220902.0380094999</v>
      </c>
      <c r="D3" s="34">
        <f>'[1]MOM 2025'!D28</f>
        <v>932034.33358339581</v>
      </c>
      <c r="E3" s="34">
        <f>'[1]MOM 2025'!E28</f>
        <v>1637684.1165171301</v>
      </c>
      <c r="F3" s="34">
        <f>'[1]MOM 2025'!F28</f>
        <v>1226819.14228557</v>
      </c>
      <c r="G3" s="34">
        <f>'[1]MOM 2025'!G28</f>
        <v>761711.43438903464</v>
      </c>
      <c r="H3" s="34">
        <f>'[1]MOM 2025'!H28</f>
        <v>678522.49214061163</v>
      </c>
      <c r="I3" s="34">
        <f>'[1]MOM 2025'!I28</f>
        <v>609470.89168333798</v>
      </c>
      <c r="J3" s="34">
        <f>'[1]MOM 2025'!J28</f>
        <v>1170695.7862089199</v>
      </c>
      <c r="K3" s="34">
        <f>'[1]MOM 2025'!K28</f>
        <v>1353910.9888539601</v>
      </c>
      <c r="L3" s="34">
        <f>'[1]MOM 2025'!L28</f>
        <v>1013764.362002</v>
      </c>
      <c r="M3" s="34">
        <f>'[1]MOM 2025'!M28</f>
        <v>975002.47</v>
      </c>
      <c r="N3" s="39">
        <f>'[1]MOM 2025'!N28</f>
        <v>1015806.7996066801</v>
      </c>
      <c r="O3" s="40">
        <f>'[1]MOM 2025'!O28</f>
        <v>12148877.2656735</v>
      </c>
      <c r="P3" s="41">
        <f>'[1]MOM 2025'!P28</f>
        <v>12189681.5952801</v>
      </c>
    </row>
    <row r="4" spans="1:16">
      <c r="A4" s="38" t="str">
        <f>'[1]MOM 2025'!A20</f>
        <v>Ken John</v>
      </c>
      <c r="B4" s="34">
        <f>'[1]MOM 2025'!B20</f>
        <v>533028.11</v>
      </c>
      <c r="C4" s="34">
        <f>'[1]MOM 2025'!C20</f>
        <v>1345761.41535384</v>
      </c>
      <c r="D4" s="34">
        <f>'[1]MOM 2025'!D20</f>
        <v>797063.79094773706</v>
      </c>
      <c r="E4" s="34">
        <f>'[1]MOM 2025'!E20</f>
        <v>1625232.8457114301</v>
      </c>
      <c r="F4" s="34">
        <f>'[1]MOM 2025'!F20</f>
        <v>647345.54676269065</v>
      </c>
      <c r="G4" s="34">
        <f>'[1]MOM 2025'!G20</f>
        <v>897454.72376596578</v>
      </c>
      <c r="H4" s="34">
        <f>'[1]MOM 2025'!H20</f>
        <v>638664.87386567576</v>
      </c>
      <c r="I4" s="34">
        <f>'[1]MOM 2025'!I20</f>
        <v>503919.2636467563</v>
      </c>
      <c r="J4" s="34">
        <f>'[1]MOM 2025'!J20</f>
        <v>670509.76492826524</v>
      </c>
      <c r="K4" s="34">
        <f>'[1]MOM 2025'!K20</f>
        <v>799869.40554444108</v>
      </c>
      <c r="L4" s="34">
        <f>'[1]MOM 2025'!L20</f>
        <v>565306.86386586644</v>
      </c>
      <c r="M4" s="34">
        <f>'[1]MOM 2025'!M20</f>
        <v>906308.45</v>
      </c>
      <c r="N4" s="39">
        <f>'[1]MOM 2025'!N20</f>
        <v>827538.75453272229</v>
      </c>
      <c r="O4" s="40">
        <f>'[1]MOM 2025'!O20</f>
        <v>9930465.0543926693</v>
      </c>
      <c r="P4" s="41">
        <f>'[1]MOM 2025'!P20</f>
        <v>9930465.0543926693</v>
      </c>
    </row>
    <row r="5" spans="1:16">
      <c r="A5" s="38" t="str">
        <f>'[1]MOM 2025'!A24</f>
        <v>Ryan Mullen</v>
      </c>
      <c r="B5" s="34">
        <f>'[1]MOM 2025'!B24</f>
        <v>267162.71567891969</v>
      </c>
      <c r="C5" s="34">
        <f>'[1]MOM 2025'!C24</f>
        <v>323947.28682170541</v>
      </c>
      <c r="D5" s="34">
        <f>'[1]MOM 2025'!D24</f>
        <v>720490.29757439368</v>
      </c>
      <c r="E5" s="34">
        <f>'[1]MOM 2025'!E24</f>
        <v>162465.73578427939</v>
      </c>
      <c r="F5" s="34">
        <f>'[1]MOM 2025'!F24</f>
        <v>127414.35358839711</v>
      </c>
      <c r="G5" s="34">
        <f>'[1]MOM 2025'!G24</f>
        <v>1361730.2515004301</v>
      </c>
      <c r="H5" s="34">
        <f>'[1]MOM 2025'!H24</f>
        <v>384353.35810231499</v>
      </c>
      <c r="I5" s="34">
        <f>'[1]MOM 2025'!I24</f>
        <v>442481.0934852814</v>
      </c>
      <c r="J5" s="34">
        <f>'[1]MOM 2025'!J24</f>
        <v>1505563.53243784</v>
      </c>
      <c r="K5" s="34">
        <f>'[1]MOM 2025'!K24</f>
        <v>1249531.76621892</v>
      </c>
      <c r="L5" s="34">
        <f>'[1]MOM 2025'!L24</f>
        <v>580877.67056635232</v>
      </c>
      <c r="M5" s="34">
        <f>'[1]MOM 2025'!M24</f>
        <v>65591.78</v>
      </c>
      <c r="N5" s="39">
        <f>'[1]MOM 2025'!N24</f>
        <v>599300.8201465694</v>
      </c>
      <c r="O5" s="40">
        <f>'[1]MOM 2025'!O24</f>
        <v>7191609.8417588295</v>
      </c>
      <c r="P5" s="41">
        <f>'[1]MOM 2025'!P24</f>
        <v>7191609.8417588295</v>
      </c>
    </row>
    <row r="6" spans="1:16">
      <c r="A6" s="38" t="str">
        <f>'[1]MOM 2025'!A10</f>
        <v>Caleb Brown</v>
      </c>
      <c r="B6" s="34">
        <f>'[1]MOM 2025'!B10</f>
        <v>0</v>
      </c>
      <c r="C6" s="34">
        <f>'[1]MOM 2025'!C10</f>
        <v>0</v>
      </c>
      <c r="D6" s="34">
        <f>'[1]MOM 2025'!D10</f>
        <v>145258.12703175799</v>
      </c>
      <c r="E6" s="34">
        <f>'[1]MOM 2025'!E10</f>
        <v>254639.59739934999</v>
      </c>
      <c r="F6" s="34">
        <f>'[1]MOM 2025'!F10</f>
        <v>1351186.7841960499</v>
      </c>
      <c r="G6" s="34">
        <f>'[1]MOM 2025'!G10</f>
        <v>864274.71556014183</v>
      </c>
      <c r="H6" s="34">
        <f>'[1]MOM 2025'!H10</f>
        <v>185331.70905973131</v>
      </c>
      <c r="I6" s="34">
        <f>'[1]MOM 2025'!I10</f>
        <v>228882.3521006002</v>
      </c>
      <c r="J6" s="34">
        <f>'[1]MOM 2025'!J10</f>
        <v>152546.38468133751</v>
      </c>
      <c r="K6" s="34">
        <f>'[1]MOM 2025'!K10</f>
        <v>1304981.35589911</v>
      </c>
      <c r="L6" s="34">
        <f>'[1]MOM 2025'!L10</f>
        <v>629578.44280461082</v>
      </c>
      <c r="M6" s="34">
        <f>'[1]MOM 2025'!M10</f>
        <v>479824.56</v>
      </c>
      <c r="N6" s="39">
        <f>'[1]MOM 2025'!N10</f>
        <v>559650.40287326917</v>
      </c>
      <c r="O6" s="40">
        <f>'[1]MOM 2025'!O10</f>
        <v>5596504.02873269</v>
      </c>
      <c r="P6" s="41">
        <f>'[1]MOM 2025'!P10</f>
        <v>6715804.8344792305</v>
      </c>
    </row>
    <row r="7" spans="1:16">
      <c r="A7" s="38" t="str">
        <f>'[1]MOM 2025'!A8</f>
        <v>Brandon Duplessie</v>
      </c>
      <c r="B7" s="34">
        <f>'[1]MOM 2025'!B8</f>
        <v>163746.82</v>
      </c>
      <c r="C7" s="34">
        <f>'[1]MOM 2025'!C8</f>
        <v>279500.67127481871</v>
      </c>
      <c r="D7" s="34">
        <f>'[1]MOM 2025'!D8</f>
        <v>814877.58189547411</v>
      </c>
      <c r="E7" s="34">
        <f>'[1]MOM 2025'!E8</f>
        <v>601869.23665949795</v>
      </c>
      <c r="F7" s="34">
        <f>'[1]MOM 2025'!F8</f>
        <v>654974.90622655675</v>
      </c>
      <c r="G7" s="34">
        <f>'[1]MOM 2025'!G8</f>
        <v>136411.98131413391</v>
      </c>
      <c r="H7" s="34">
        <f>'[1]MOM 2025'!H8</f>
        <v>42399.899971420411</v>
      </c>
      <c r="I7" s="34">
        <f>'[1]MOM 2025'!I8</f>
        <v>169353.65630322951</v>
      </c>
      <c r="J7" s="34">
        <f>'[1]MOM 2025'!J8</f>
        <v>881593.48634181183</v>
      </c>
      <c r="K7" s="34">
        <f>'[1]MOM 2025'!K8</f>
        <v>368493.88396684767</v>
      </c>
      <c r="L7" s="34">
        <f>'[1]MOM 2025'!L8</f>
        <v>426092.86939125462</v>
      </c>
      <c r="M7" s="34">
        <f>'[1]MOM 2025'!M8</f>
        <v>227340.98</v>
      </c>
      <c r="N7" s="39">
        <f>'[1]MOM 2025'!N8</f>
        <v>397221.33111208718</v>
      </c>
      <c r="O7" s="40">
        <f>'[1]MOM 2025'!O8</f>
        <v>4766655.9733450497</v>
      </c>
      <c r="P7" s="41">
        <f>'[1]MOM 2025'!P8</f>
        <v>4766655.9733450497</v>
      </c>
    </row>
    <row r="8" spans="1:16">
      <c r="A8" s="38" t="str">
        <f>'[1]MOM 2025'!A23</f>
        <v>Ryan Morris</v>
      </c>
      <c r="B8" s="34">
        <f>'[1]MOM 2025'!B23</f>
        <v>337786.55</v>
      </c>
      <c r="C8" s="34">
        <f>'[1]MOM 2025'!C23</f>
        <v>642445.94898724684</v>
      </c>
      <c r="D8" s="34">
        <f>'[1]MOM 2025'!D23</f>
        <v>366561.11527881969</v>
      </c>
      <c r="E8" s="34">
        <f>'[1]MOM 2025'!E23</f>
        <v>291742.07301825442</v>
      </c>
      <c r="F8" s="34">
        <f>'[1]MOM 2025'!F23</f>
        <v>513882.40810202551</v>
      </c>
      <c r="G8" s="34">
        <f>'[1]MOM 2025'!G23</f>
        <v>129282.0688560251</v>
      </c>
      <c r="H8" s="34">
        <f>'[1]MOM 2025'!H23</f>
        <v>299281.06601886248</v>
      </c>
      <c r="I8" s="34">
        <f>'[1]MOM 2025'!I23</f>
        <v>218157.95941697629</v>
      </c>
      <c r="J8" s="34">
        <f>'[1]MOM 2025'!J23</f>
        <v>687818.56414547015</v>
      </c>
      <c r="K8" s="34">
        <f>'[1]MOM 2025'!K23</f>
        <v>661358.10231494729</v>
      </c>
      <c r="L8" s="34">
        <f>'[1]MOM 2025'!L23</f>
        <v>276343.86967705068</v>
      </c>
      <c r="M8" s="34">
        <f>'[1]MOM 2025'!M23</f>
        <v>179685.54</v>
      </c>
      <c r="N8" s="39">
        <f>'[1]MOM 2025'!N23</f>
        <v>383695.43881797307</v>
      </c>
      <c r="O8" s="40">
        <f>'[1]MOM 2025'!O23</f>
        <v>4604345.2658156799</v>
      </c>
      <c r="P8" s="41">
        <f>'[1]MOM 2025'!P23</f>
        <v>4604345.2658156799</v>
      </c>
    </row>
    <row r="9" spans="1:16">
      <c r="A9" s="38" t="str">
        <f>'[1]MOM 2025'!A27</f>
        <v>Shelly Barba</v>
      </c>
      <c r="B9" s="34">
        <f>'[1]MOM 2025'!B27</f>
        <v>91093.72</v>
      </c>
      <c r="C9" s="34">
        <f>'[1]MOM 2025'!C27</f>
        <v>366763.44086021511</v>
      </c>
      <c r="D9" s="34">
        <f>'[1]MOM 2025'!D27</f>
        <v>446390.88522130542</v>
      </c>
      <c r="E9" s="34">
        <f>'[1]MOM 2025'!E27</f>
        <v>231347.29932483131</v>
      </c>
      <c r="F9" s="34">
        <f>'[1]MOM 2025'!F27</f>
        <v>337809.38984746177</v>
      </c>
      <c r="G9" s="34">
        <f>'[1]MOM 2025'!G27</f>
        <v>300656.20177193492</v>
      </c>
      <c r="H9" s="34">
        <f>'[1]MOM 2025'!H27</f>
        <v>110090.8545298657</v>
      </c>
      <c r="I9" s="34">
        <f>'[1]MOM 2025'!I27</f>
        <v>523252.95871391828</v>
      </c>
      <c r="J9" s="34">
        <f>'[1]MOM 2025'!J27</f>
        <v>345668.73142897972</v>
      </c>
      <c r="K9" s="34">
        <f>'[1]MOM 2025'!K27</f>
        <v>989044.95570162905</v>
      </c>
      <c r="L9" s="34">
        <f>'[1]MOM 2025'!L27</f>
        <v>351385.23863961129</v>
      </c>
      <c r="M9" s="34">
        <f>'[1]MOM 2025'!M27</f>
        <v>391210.25</v>
      </c>
      <c r="N9" s="39">
        <f>'[1]MOM 2025'!N27</f>
        <v>373726.16050331283</v>
      </c>
      <c r="O9" s="40">
        <f>'[1]MOM 2025'!O27</f>
        <v>4484713.9260397498</v>
      </c>
      <c r="P9" s="41">
        <f>'[1]MOM 2025'!P27</f>
        <v>4484713.9260397498</v>
      </c>
    </row>
    <row r="10" spans="1:16">
      <c r="A10" s="38" t="str">
        <f>'[1]MOM 2025'!A21</f>
        <v>Oliver Moseby</v>
      </c>
      <c r="B10" s="34">
        <f>'[1]MOM 2025'!B21</f>
        <v>115845.32</v>
      </c>
      <c r="C10" s="34">
        <f>'[1]MOM 2025'!C21</f>
        <v>448303.75954688672</v>
      </c>
      <c r="D10" s="34">
        <f>'[1]MOM 2025'!D21</f>
        <v>279723.49337334331</v>
      </c>
      <c r="E10" s="34">
        <f>'[1]MOM 2025'!E21</f>
        <v>122121.3928482121</v>
      </c>
      <c r="F10" s="34">
        <f>'[1]MOM 2025'!F21</f>
        <v>342418.24206051521</v>
      </c>
      <c r="G10" s="34">
        <f>'[1]MOM 2025'!G21</f>
        <v>236534.07497586799</v>
      </c>
      <c r="H10" s="34">
        <f>'[1]MOM 2025'!H21</f>
        <v>252217.14775650189</v>
      </c>
      <c r="I10" s="34">
        <f>'[1]MOM 2025'!I21</f>
        <v>57913.160903115167</v>
      </c>
      <c r="J10" s="34">
        <f>'[1]MOM 2025'!J21</f>
        <v>486808.79571706202</v>
      </c>
      <c r="K10" s="34">
        <f>'[1]MOM 2025'!K21</f>
        <v>453286.46756216051</v>
      </c>
      <c r="L10" s="34">
        <f>'[1]MOM 2025'!L21</f>
        <v>803882.70458226162</v>
      </c>
      <c r="M10" s="34">
        <f>'[1]MOM 2025'!M21</f>
        <v>819959.13</v>
      </c>
      <c r="N10" s="39">
        <f>'[1]MOM 2025'!N21</f>
        <v>368251.14077716059</v>
      </c>
      <c r="O10" s="40">
        <f>'[1]MOM 2025'!O21</f>
        <v>4419013.6893259296</v>
      </c>
      <c r="P10" s="41">
        <f>'[1]MOM 2025'!P21</f>
        <v>4419013.6893259296</v>
      </c>
    </row>
    <row r="11" spans="1:16">
      <c r="A11" s="38" t="str">
        <f>'[1]MOM 2025'!A3</f>
        <v>Alana Pirrello</v>
      </c>
      <c r="B11" s="34">
        <f>'[1]MOM 2025'!B3</f>
        <v>25906.21405351338</v>
      </c>
      <c r="C11" s="34">
        <f>'[1]MOM 2025'!C3</f>
        <v>59352.71317829458</v>
      </c>
      <c r="D11" s="34">
        <f>'[1]MOM 2025'!D3</f>
        <v>69294.861215303827</v>
      </c>
      <c r="E11" s="34">
        <f>'[1]MOM 2025'!E3</f>
        <v>613458.68515928986</v>
      </c>
      <c r="F11" s="34">
        <f>'[1]MOM 2025'!F3</f>
        <v>515877.71942985751</v>
      </c>
      <c r="G11" s="34">
        <f>'[1]MOM 2025'!G3</f>
        <v>112898.1994855673</v>
      </c>
      <c r="H11" s="34">
        <f>'[1]MOM 2025'!H3</f>
        <v>625676.55044298375</v>
      </c>
      <c r="I11" s="34">
        <f>'[1]MOM 2025'!I3</f>
        <v>177714.1192026294</v>
      </c>
      <c r="J11" s="34">
        <f>'[1]MOM 2025'!J3</f>
        <v>370411.95806516142</v>
      </c>
      <c r="K11" s="34">
        <f>'[1]MOM 2025'!K3</f>
        <v>71009.131180337194</v>
      </c>
      <c r="L11" s="34">
        <f>'[1]MOM 2025'!L3</f>
        <v>899269.97237305902</v>
      </c>
      <c r="M11" s="34">
        <f>'[1]MOM 2025'!M3</f>
        <v>186277.71</v>
      </c>
      <c r="N11" s="39">
        <f>'[1]MOM 2025'!N3</f>
        <v>310595.65281549981</v>
      </c>
      <c r="O11" s="40">
        <f>'[1]MOM 2025'!O3</f>
        <v>3727147.833786</v>
      </c>
      <c r="P11" s="41">
        <f>'[1]MOM 2025'!P3</f>
        <v>3727147.833786</v>
      </c>
    </row>
    <row r="12" spans="1:16">
      <c r="A12" s="38" t="str">
        <f>'[1]MOM 2025'!A11</f>
        <v>Carson Goodwin</v>
      </c>
      <c r="B12" s="34">
        <f>'[1]MOM 2025'!B11</f>
        <v>29877.73</v>
      </c>
      <c r="C12" s="34">
        <f>'[1]MOM 2025'!C11</f>
        <v>362101.3128282071</v>
      </c>
      <c r="D12" s="34">
        <f>'[1]MOM 2025'!D11</f>
        <v>417429.50737684418</v>
      </c>
      <c r="E12" s="34">
        <f>'[1]MOM 2025'!E11</f>
        <v>32369.829957489379</v>
      </c>
      <c r="F12" s="34">
        <f>'[1]MOM 2025'!F11</f>
        <v>249792.12303075771</v>
      </c>
      <c r="G12" s="34">
        <f>'[1]MOM 2025'!G11</f>
        <v>10571.32037725064</v>
      </c>
      <c r="H12" s="34">
        <f>'[1]MOM 2025'!H11</f>
        <v>155667.91940554441</v>
      </c>
      <c r="I12" s="34">
        <f>'[1]MOM 2025'!I11</f>
        <v>77592.440697342114</v>
      </c>
      <c r="J12" s="34">
        <f>'[1]MOM 2025'!J11</f>
        <v>1463424.3523035201</v>
      </c>
      <c r="K12" s="34">
        <f>'[1]MOM 2025'!K11</f>
        <v>337941.29751357518</v>
      </c>
      <c r="L12" s="34">
        <f>'[1]MOM 2025'!L11</f>
        <v>20890.068591026011</v>
      </c>
      <c r="M12" s="34">
        <f>'[1]MOM 2025'!M11</f>
        <v>140248.06</v>
      </c>
      <c r="N12" s="39">
        <f>'[1]MOM 2025'!N11</f>
        <v>274825.49684012932</v>
      </c>
      <c r="O12" s="40">
        <f>'[1]MOM 2025'!O11</f>
        <v>3297905.9620815502</v>
      </c>
      <c r="P12" s="41">
        <f>'[1]MOM 2025'!P11</f>
        <v>3297905.9620815502</v>
      </c>
    </row>
    <row r="13" spans="1:16">
      <c r="A13" s="38" t="str">
        <f>'[1]MOM 2025'!A15</f>
        <v>Donovan Wilson</v>
      </c>
      <c r="B13" s="34">
        <f>'[1]MOM 2025'!B15</f>
        <v>202995.72</v>
      </c>
      <c r="C13" s="34">
        <f>'[1]MOM 2025'!C15</f>
        <v>224177.9319829958</v>
      </c>
      <c r="D13" s="34">
        <f>'[1]MOM 2025'!D15</f>
        <v>244617.00425106281</v>
      </c>
      <c r="E13" s="34">
        <f>'[1]MOM 2025'!E15</f>
        <v>130259.6634328582</v>
      </c>
      <c r="F13" s="34">
        <f>'[1]MOM 2025'!F15</f>
        <v>254569.59239809951</v>
      </c>
      <c r="G13" s="34">
        <f>'[1]MOM 2025'!G15</f>
        <v>210802.3863961132</v>
      </c>
      <c r="H13" s="34">
        <f>'[1]MOM 2025'!H15</f>
        <v>208712.9894255501</v>
      </c>
      <c r="I13" s="34">
        <f>'[1]MOM 2025'!I15</f>
        <v>150666.71906258931</v>
      </c>
      <c r="J13" s="34">
        <f>'[1]MOM 2025'!J15</f>
        <v>698097.79937124904</v>
      </c>
      <c r="K13" s="34">
        <f>'[1]MOM 2025'!K15</f>
        <v>241671.43469562731</v>
      </c>
      <c r="L13" s="34">
        <f>'[1]MOM 2025'!L15</f>
        <v>85973.978279508447</v>
      </c>
      <c r="M13" s="34">
        <f>'[1]MOM 2025'!M15</f>
        <v>79868.62</v>
      </c>
      <c r="N13" s="39">
        <f>'[1]MOM 2025'!N15</f>
        <v>227701.15327463791</v>
      </c>
      <c r="O13" s="40">
        <f>'[1]MOM 2025'!O15</f>
        <v>2732413.8392956499</v>
      </c>
      <c r="P13" s="41">
        <f>'[1]MOM 2025'!P15</f>
        <v>2732413.8392956499</v>
      </c>
    </row>
    <row r="14" spans="1:16">
      <c r="A14" s="38" t="str">
        <f>'[1]MOM 2025'!A25</f>
        <v>Sal Obando</v>
      </c>
      <c r="B14" s="34">
        <f>'[1]MOM 2025'!B25</f>
        <v>228779.92414770371</v>
      </c>
      <c r="C14" s="34">
        <f>'[1]MOM 2025'!C25</f>
        <v>219839.1707450196</v>
      </c>
      <c r="D14" s="34">
        <f>'[1]MOM 2025'!D25</f>
        <v>100700.8446366592</v>
      </c>
      <c r="E14" s="34">
        <f>'[1]MOM 2025'!E25</f>
        <v>381841.28532133042</v>
      </c>
      <c r="F14" s="34">
        <f>'[1]MOM 2025'!F25</f>
        <v>14780.17004251063</v>
      </c>
      <c r="G14" s="34">
        <f>'[1]MOM 2025'!G25</f>
        <v>61576.736210345822</v>
      </c>
      <c r="H14" s="34">
        <f>'[1]MOM 2025'!H25</f>
        <v>486627.52214918548</v>
      </c>
      <c r="I14" s="34">
        <f>'[1]MOM 2025'!I25</f>
        <v>193876.1931980566</v>
      </c>
      <c r="J14" s="34">
        <f>'[1]MOM 2025'!J25</f>
        <v>384232.85224349808</v>
      </c>
      <c r="K14" s="34">
        <f>'[1]MOM 2025'!K25</f>
        <v>122930.73735352961</v>
      </c>
      <c r="L14" s="34">
        <f>'[1]MOM 2025'!L25</f>
        <v>127997.7183957321</v>
      </c>
      <c r="M14" s="34">
        <f>'[1]MOM 2025'!M25</f>
        <v>270821.62</v>
      </c>
      <c r="N14" s="39">
        <f>'[1]MOM 2025'!N25</f>
        <v>216167.06453696429</v>
      </c>
      <c r="O14" s="40">
        <f>'[1]MOM 2025'!O25</f>
        <v>2594004.7744435701</v>
      </c>
      <c r="P14" s="41">
        <f>'[1]MOM 2025'!P25</f>
        <v>2594004.7744435701</v>
      </c>
    </row>
    <row r="15" spans="1:16">
      <c r="A15" s="38" t="str">
        <f>'[1]MOM 2025'!A19</f>
        <v>Katharine Boston</v>
      </c>
      <c r="B15" s="34">
        <f>'[1]MOM 2025'!B19</f>
        <v>0</v>
      </c>
      <c r="C15" s="34">
        <f>'[1]MOM 2025'!C19</f>
        <v>0</v>
      </c>
      <c r="D15" s="34">
        <f>'[1]MOM 2025'!D19</f>
        <v>4622.9057264316098</v>
      </c>
      <c r="E15" s="34">
        <f>'[1]MOM 2025'!E19</f>
        <v>628358.20205051266</v>
      </c>
      <c r="F15" s="34">
        <f>'[1]MOM 2025'!F19</f>
        <v>100267.4897484371</v>
      </c>
      <c r="G15" s="34">
        <f>'[1]MOM 2025'!G19</f>
        <v>278333.77906851668</v>
      </c>
      <c r="H15" s="34">
        <f>'[1]MOM 2025'!H19</f>
        <v>1301174.99104201</v>
      </c>
      <c r="I15" s="34">
        <f>'[1]MOM 2025'!I19</f>
        <v>62495.198628179482</v>
      </c>
      <c r="J15" s="34">
        <f>'[1]MOM 2025'!J19</f>
        <v>2857.9451271791932</v>
      </c>
      <c r="K15" s="34">
        <f>'[1]MOM 2025'!K19</f>
        <v>0</v>
      </c>
      <c r="L15" s="34">
        <f>'[1]MOM 2025'!L19</f>
        <v>65069.388566638059</v>
      </c>
      <c r="M15" s="34">
        <f>'[1]MOM 2025'!M19</f>
        <v>66458.73</v>
      </c>
      <c r="N15" s="39">
        <f>'[1]MOM 2025'!N19</f>
        <v>250963.8629957907</v>
      </c>
      <c r="O15" s="40">
        <f>'[1]MOM 2025'!O19</f>
        <v>2509638.6299579102</v>
      </c>
      <c r="P15" s="41">
        <f>'[1]MOM 2025'!P19</f>
        <v>3011566.3559494899</v>
      </c>
    </row>
    <row r="16" spans="1:16">
      <c r="A16" s="38" t="str">
        <f>'[1]MOM 2025'!A17</f>
        <v>Jericho Griffith</v>
      </c>
      <c r="B16" s="34">
        <f>'[1]MOM 2025'!B17</f>
        <v>310039.67</v>
      </c>
      <c r="C16" s="34">
        <f>'[1]MOM 2025'!C17</f>
        <v>556354.03850962745</v>
      </c>
      <c r="D16" s="34">
        <f>'[1]MOM 2025'!D17</f>
        <v>240774.06851712929</v>
      </c>
      <c r="E16" s="34">
        <f>'[1]MOM 2025'!E17</f>
        <v>53175.193798449618</v>
      </c>
      <c r="F16" s="34">
        <f>'[1]MOM 2025'!F17</f>
        <v>97287.271817954505</v>
      </c>
      <c r="G16" s="34">
        <f>'[1]MOM 2025'!G17</f>
        <v>65117.976564732788</v>
      </c>
      <c r="H16" s="34">
        <f>'[1]MOM 2025'!H17</f>
        <v>99857.730780222933</v>
      </c>
      <c r="I16" s="34">
        <f>'[1]MOM 2025'!I17</f>
        <v>120195.1130065733</v>
      </c>
      <c r="J16" s="34">
        <f>'[1]MOM 2025'!J17</f>
        <v>85563.73</v>
      </c>
      <c r="K16" s="34">
        <f>'[1]MOM 2025'!K17</f>
        <v>213366.1046013147</v>
      </c>
      <c r="L16" s="34">
        <f>'[1]MOM 2025'!L17</f>
        <v>498364.46127464989</v>
      </c>
      <c r="M16" s="34">
        <f>'[1]MOM 2025'!M17</f>
        <v>131053.69</v>
      </c>
      <c r="N16" s="39">
        <f>'[1]MOM 2025'!N17</f>
        <v>205929.0874058879</v>
      </c>
      <c r="O16" s="40">
        <f>'[1]MOM 2025'!O17</f>
        <v>2471149.0488706501</v>
      </c>
      <c r="P16" s="41">
        <f>'[1]MOM 2025'!P17</f>
        <v>2471149.0488706501</v>
      </c>
    </row>
    <row r="17" spans="1:16">
      <c r="A17" s="38" t="str">
        <f>'[1]MOM 2025'!A16</f>
        <v>James Martz</v>
      </c>
      <c r="B17" s="34">
        <f>'[1]MOM 2025'!B16</f>
        <v>0</v>
      </c>
      <c r="C17" s="34">
        <f>'[1]MOM 2025'!C16</f>
        <v>0</v>
      </c>
      <c r="D17" s="34">
        <f>'[1]MOM 2025'!D16</f>
        <v>0</v>
      </c>
      <c r="E17" s="34">
        <f>'[1]MOM 2025'!E16</f>
        <v>0</v>
      </c>
      <c r="F17" s="34">
        <f>'[1]MOM 2025'!F16</f>
        <v>0</v>
      </c>
      <c r="G17" s="34">
        <f>'[1]MOM 2025'!G16</f>
        <v>9696.7276364675636</v>
      </c>
      <c r="H17" s="34">
        <f>'[1]MOM 2025'!H16</f>
        <v>195846.32752214919</v>
      </c>
      <c r="I17" s="34">
        <f>'[1]MOM 2025'!I16</f>
        <v>208593.91327236351</v>
      </c>
      <c r="J17" s="34">
        <f>'[1]MOM 2025'!J16</f>
        <v>674188.34122463537</v>
      </c>
      <c r="K17" s="34">
        <f>'[1]MOM 2025'!K16</f>
        <v>481102.28636753361</v>
      </c>
      <c r="L17" s="34">
        <f>'[1]MOM 2025'!L16</f>
        <v>497886.10079070221</v>
      </c>
      <c r="M17" s="34">
        <f>'[1]MOM 2025'!M16</f>
        <v>368439.55</v>
      </c>
      <c r="N17" s="39">
        <f>'[1]MOM 2025'!N16</f>
        <v>347964.74954483588</v>
      </c>
      <c r="O17" s="40">
        <f>'[1]MOM 2025'!O16</f>
        <v>2435753.24681385</v>
      </c>
      <c r="P17" s="41">
        <f>'[1]MOM 2025'!P16</f>
        <v>4175576.9945380301</v>
      </c>
    </row>
    <row r="18" spans="1:16">
      <c r="A18" s="38" t="str">
        <f>'[1]MOM 2025'!A13</f>
        <v>Dave Wright</v>
      </c>
      <c r="B18" s="34">
        <f>'[1]MOM 2025'!B13</f>
        <v>230101.61290322579</v>
      </c>
      <c r="C18" s="34">
        <f>'[1]MOM 2025'!C13</f>
        <v>224376.11902975739</v>
      </c>
      <c r="D18" s="34">
        <f>'[1]MOM 2025'!D13</f>
        <v>67587.984496124031</v>
      </c>
      <c r="E18" s="34">
        <f>'[1]MOM 2025'!E13</f>
        <v>597535.20880220062</v>
      </c>
      <c r="F18" s="34">
        <f>'[1]MOM 2025'!F13</f>
        <v>16312.565641410351</v>
      </c>
      <c r="G18" s="34">
        <f>'[1]MOM 2025'!G13</f>
        <v>41215.042609888522</v>
      </c>
      <c r="H18" s="34">
        <f>'[1]MOM 2025'!H13</f>
        <v>77828.379537010565</v>
      </c>
      <c r="I18" s="34">
        <f>'[1]MOM 2025'!I13</f>
        <v>78603.585352957976</v>
      </c>
      <c r="J18" s="34">
        <f>'[1]MOM 2025'!J13</f>
        <v>96819.691340382982</v>
      </c>
      <c r="K18" s="34">
        <f>'[1]MOM 2025'!K13</f>
        <v>39867.26683814422</v>
      </c>
      <c r="L18" s="34">
        <f>'[1]MOM 2025'!L13</f>
        <v>245296.99628436699</v>
      </c>
      <c r="M18" s="34">
        <f>'[1]MOM 2025'!M13</f>
        <v>205007.96</v>
      </c>
      <c r="N18" s="39">
        <f>'[1]MOM 2025'!N13</f>
        <v>160046.03440295579</v>
      </c>
      <c r="O18" s="40">
        <f>'[1]MOM 2025'!O13</f>
        <v>1920552.4128354699</v>
      </c>
      <c r="P18" s="41">
        <f>'[1]MOM 2025'!P13</f>
        <v>1920552.4128354699</v>
      </c>
    </row>
    <row r="19" spans="1:16">
      <c r="A19" s="38" t="str">
        <f>'[1]MOM 2025'!A6</f>
        <v>Ben Volotzky</v>
      </c>
      <c r="B19" s="34">
        <f>'[1]MOM 2025'!B6</f>
        <v>0</v>
      </c>
      <c r="C19" s="34">
        <f>'[1]MOM 2025'!C6</f>
        <v>0</v>
      </c>
      <c r="D19" s="34">
        <f>'[1]MOM 2025'!D6</f>
        <v>0</v>
      </c>
      <c r="E19" s="34">
        <f>'[1]MOM 2025'!E6</f>
        <v>0</v>
      </c>
      <c r="F19" s="34">
        <f>'[1]MOM 2025'!F6</f>
        <v>0</v>
      </c>
      <c r="G19" s="34">
        <f>'[1]MOM 2025'!G6</f>
        <v>0</v>
      </c>
      <c r="H19" s="34">
        <f>'[1]MOM 2025'!H6</f>
        <v>0</v>
      </c>
      <c r="I19" s="34">
        <f>'[1]MOM 2025'!I6</f>
        <v>17703.000857387829</v>
      </c>
      <c r="J19" s="34">
        <f>'[1]MOM 2025'!J6</f>
        <v>161416.647613604</v>
      </c>
      <c r="K19" s="34">
        <f>'[1]MOM 2025'!K6</f>
        <v>379932.90396046499</v>
      </c>
      <c r="L19" s="34">
        <f>'[1]MOM 2025'!L6</f>
        <v>530024.84782899846</v>
      </c>
      <c r="M19" s="34">
        <f>'[1]MOM 2025'!M6</f>
        <v>422460.31</v>
      </c>
      <c r="N19" s="39">
        <f>'[1]MOM 2025'!N6</f>
        <v>302307.54205209098</v>
      </c>
      <c r="O19" s="40">
        <f>'[1]MOM 2025'!O6</f>
        <v>1511537.7102604599</v>
      </c>
      <c r="P19" s="41">
        <f>'[1]MOM 2025'!P6</f>
        <v>3627690.5046250899</v>
      </c>
    </row>
    <row r="20" spans="1:16">
      <c r="A20" s="38" t="str">
        <f>'[1]MOM 2025'!A18</f>
        <v>John Wyshak</v>
      </c>
      <c r="B20" s="34">
        <f>'[1]MOM 2025'!B18</f>
        <v>0</v>
      </c>
      <c r="C20" s="34">
        <f>'[1]MOM 2025'!C18</f>
        <v>77522.143035758942</v>
      </c>
      <c r="D20" s="34">
        <f>'[1]MOM 2025'!D18</f>
        <v>179850.02500625161</v>
      </c>
      <c r="E20" s="34">
        <f>'[1]MOM 2025'!E18</f>
        <v>40703.150787696919</v>
      </c>
      <c r="F20" s="34">
        <f>'[1]MOM 2025'!F18</f>
        <v>57886.4591147787</v>
      </c>
      <c r="G20" s="34">
        <f>'[1]MOM 2025'!G18</f>
        <v>233931.29465561599</v>
      </c>
      <c r="H20" s="34">
        <f>'[1]MOM 2025'!H18</f>
        <v>104523.563875393</v>
      </c>
      <c r="I20" s="34">
        <f>'[1]MOM 2025'!I18</f>
        <v>150881.75081594739</v>
      </c>
      <c r="J20" s="34">
        <f>'[1]MOM 2025'!J18</f>
        <v>61288.35381537582</v>
      </c>
      <c r="K20" s="34">
        <f>'[1]MOM 2025'!K18</f>
        <v>122371.62046298941</v>
      </c>
      <c r="L20" s="34">
        <f>'[1]MOM 2025'!L18</f>
        <v>174117.59074021151</v>
      </c>
      <c r="M20" s="34">
        <f>'[1]MOM 2025'!M18</f>
        <v>129240.34</v>
      </c>
      <c r="N20" s="39">
        <f>'[1]MOM 2025'!N18</f>
        <v>121119.66293727449</v>
      </c>
      <c r="O20" s="40">
        <f>'[1]MOM 2025'!O18</f>
        <v>1332316.29231002</v>
      </c>
      <c r="P20" s="41">
        <f>'[1]MOM 2025'!P18</f>
        <v>1453435.95524729</v>
      </c>
    </row>
    <row r="21" spans="1:16">
      <c r="A21" s="38" t="str">
        <f>'[1]MOM 2025'!A4</f>
        <v>Alex Kanish</v>
      </c>
      <c r="B21" s="34">
        <f>'[1]MOM 2025'!B4</f>
        <v>0</v>
      </c>
      <c r="C21" s="34">
        <f>'[1]MOM 2025'!C4</f>
        <v>0</v>
      </c>
      <c r="D21" s="34">
        <f>'[1]MOM 2025'!D4</f>
        <v>0</v>
      </c>
      <c r="E21" s="34">
        <f>'[1]MOM 2025'!E4</f>
        <v>68240.16004001</v>
      </c>
      <c r="F21" s="34">
        <f>'[1]MOM 2025'!F4</f>
        <v>153355.6264066016</v>
      </c>
      <c r="G21" s="34">
        <f>'[1]MOM 2025'!G4</f>
        <v>221165.24721348961</v>
      </c>
      <c r="H21" s="34">
        <f>'[1]MOM 2025'!H4</f>
        <v>98449.671334667044</v>
      </c>
      <c r="I21" s="34">
        <f>'[1]MOM 2025'!I4</f>
        <v>47653.715347242069</v>
      </c>
      <c r="J21" s="34">
        <f>'[1]MOM 2025'!J4</f>
        <v>47804.858531008853</v>
      </c>
      <c r="K21" s="34">
        <f>'[1]MOM 2025'!K4</f>
        <v>49328.993998285223</v>
      </c>
      <c r="L21" s="34">
        <f>'[1]MOM 2025'!L4</f>
        <v>392395.29389349342</v>
      </c>
      <c r="M21" s="34">
        <f>'[1]MOM 2025'!M4</f>
        <v>103931.34</v>
      </c>
      <c r="N21" s="39">
        <f>'[1]MOM 2025'!N4</f>
        <v>131369.43408497749</v>
      </c>
      <c r="O21" s="40">
        <f>'[1]MOM 2025'!O4</f>
        <v>1182324.9067648</v>
      </c>
      <c r="P21" s="41">
        <f>'[1]MOM 2025'!P4</f>
        <v>1576433.2090197301</v>
      </c>
    </row>
    <row r="22" spans="1:16">
      <c r="A22" s="38" t="str">
        <f>'[1]MOM 2025'!A22</f>
        <v>Reginald Davis</v>
      </c>
      <c r="B22" s="34">
        <f>'[1]MOM 2025'!B22</f>
        <v>0</v>
      </c>
      <c r="C22" s="34">
        <f>'[1]MOM 2025'!C22</f>
        <v>4389.9849962490616</v>
      </c>
      <c r="D22" s="34">
        <f>'[1]MOM 2025'!D22</f>
        <v>69717.491872968239</v>
      </c>
      <c r="E22" s="34">
        <f>'[1]MOM 2025'!E22</f>
        <v>64869.517379344841</v>
      </c>
      <c r="F22" s="34">
        <f>'[1]MOM 2025'!F22</f>
        <v>101447.5118779695</v>
      </c>
      <c r="G22" s="34">
        <f>'[1]MOM 2025'!G22</f>
        <v>38872.977993712477</v>
      </c>
      <c r="H22" s="34">
        <f>'[1]MOM 2025'!H22</f>
        <v>57030.351529008272</v>
      </c>
      <c r="I22" s="34">
        <f>'[1]MOM 2025'!I22</f>
        <v>21523.163761074589</v>
      </c>
      <c r="J22" s="34">
        <f>'[1]MOM 2025'!J22</f>
        <v>139771.98519977141</v>
      </c>
      <c r="K22" s="34">
        <f>'[1]MOM 2025'!K22</f>
        <v>109653.87253501</v>
      </c>
      <c r="L22" s="34">
        <f>'[1]MOM 2025'!L22</f>
        <v>316821.72049156902</v>
      </c>
      <c r="M22" s="34">
        <f>'[1]MOM 2025'!M22</f>
        <v>256184.01</v>
      </c>
      <c r="N22" s="39">
        <f>'[1]MOM 2025'!N22</f>
        <v>107298.41705787971</v>
      </c>
      <c r="O22" s="40">
        <f>'[1]MOM 2025'!O22</f>
        <v>1180282.5876366801</v>
      </c>
      <c r="P22" s="41">
        <f>'[1]MOM 2025'!P22</f>
        <v>1287581.0046945601</v>
      </c>
    </row>
    <row r="23" spans="1:16">
      <c r="A23" s="38" t="str">
        <f>'[1]MOM 2025'!A30</f>
        <v>Zack Malal</v>
      </c>
      <c r="B23" s="34">
        <f>'[1]MOM 2025'!B30</f>
        <v>0</v>
      </c>
      <c r="C23" s="34">
        <f>'[1]MOM 2025'!C30</f>
        <v>0</v>
      </c>
      <c r="D23" s="34">
        <f>'[1]MOM 2025'!D30</f>
        <v>9941.0977744436132</v>
      </c>
      <c r="E23" s="34">
        <f>'[1]MOM 2025'!E30</f>
        <v>18648.645494707009</v>
      </c>
      <c r="F23" s="34">
        <f>'[1]MOM 2025'!F30</f>
        <v>36421.205301325339</v>
      </c>
      <c r="G23" s="34">
        <f>'[1]MOM 2025'!G30</f>
        <v>117354.9871391826</v>
      </c>
      <c r="H23" s="34">
        <f>'[1]MOM 2025'!H30</f>
        <v>40437.182052014861</v>
      </c>
      <c r="I23" s="34">
        <f>'[1]MOM 2025'!I30</f>
        <v>47284.736611889108</v>
      </c>
      <c r="J23" s="34">
        <f>'[1]MOM 2025'!J30</f>
        <v>84412.174907116336</v>
      </c>
      <c r="K23" s="34">
        <f>'[1]MOM 2025'!K30</f>
        <v>139275.2072020577</v>
      </c>
      <c r="L23" s="34">
        <f>'[1]MOM 2025'!L30</f>
        <v>188116.73335238639</v>
      </c>
      <c r="M23" s="34">
        <f>'[1]MOM 2025'!M30</f>
        <v>156428.01</v>
      </c>
      <c r="N23" s="39">
        <f>'[1]MOM 2025'!N30</f>
        <v>76210.90725773845</v>
      </c>
      <c r="O23" s="40">
        <f>'[1]MOM 2025'!O30</f>
        <v>838319.97983512306</v>
      </c>
      <c r="P23" s="41">
        <f>'[1]MOM 2025'!P30</f>
        <v>914530.88709286135</v>
      </c>
    </row>
    <row r="24" spans="1:16">
      <c r="A24" s="38" t="str">
        <f>'[1]MOM 2025'!A12</f>
        <v>Chad Keene</v>
      </c>
      <c r="B24" s="34">
        <f>'[1]MOM 2025'!B12</f>
        <v>0</v>
      </c>
      <c r="C24" s="34">
        <f>'[1]MOM 2025'!C12</f>
        <v>0</v>
      </c>
      <c r="D24" s="34">
        <f>'[1]MOM 2025'!D12</f>
        <v>0</v>
      </c>
      <c r="E24" s="34">
        <f>'[1]MOM 2025'!E12</f>
        <v>0</v>
      </c>
      <c r="F24" s="34">
        <f>'[1]MOM 2025'!F12</f>
        <v>0</v>
      </c>
      <c r="G24" s="34">
        <f>'[1]MOM 2025'!G12</f>
        <v>0</v>
      </c>
      <c r="H24" s="34">
        <f>'[1]MOM 2025'!H12</f>
        <v>0</v>
      </c>
      <c r="I24" s="34">
        <f>'[1]MOM 2025'!I12</f>
        <v>0</v>
      </c>
      <c r="J24" s="34">
        <f>'[1]MOM 2025'!J12</f>
        <v>0</v>
      </c>
      <c r="K24" s="34">
        <f>'[1]MOM 2025'!K12</f>
        <v>174834.50985996</v>
      </c>
      <c r="L24" s="34">
        <f>'[1]MOM 2025'!L12</f>
        <v>180573.80755787369</v>
      </c>
      <c r="M24" s="34">
        <f>'[1]MOM 2025'!M12</f>
        <v>55578.87</v>
      </c>
      <c r="N24" s="39">
        <f>'[1]MOM 2025'!N12</f>
        <v>102746.7968544584</v>
      </c>
      <c r="O24" s="40">
        <f>'[1]MOM 2025'!O12</f>
        <v>410987.18741783372</v>
      </c>
      <c r="P24" s="41">
        <f>'[1]MOM 2025'!P12</f>
        <v>1232961.5622535001</v>
      </c>
    </row>
    <row r="25" spans="1:16">
      <c r="A25" s="38" t="str">
        <f>'[1]MOM 2025'!A7</f>
        <v>Beverly Danes</v>
      </c>
      <c r="B25" s="34">
        <f>'[1]MOM 2025'!B7</f>
        <v>0</v>
      </c>
      <c r="C25" s="34">
        <f>'[1]MOM 2025'!C7</f>
        <v>0</v>
      </c>
      <c r="D25" s="34">
        <f>'[1]MOM 2025'!D7</f>
        <v>0</v>
      </c>
      <c r="E25" s="34">
        <f>'[1]MOM 2025'!E7</f>
        <v>0</v>
      </c>
      <c r="F25" s="34">
        <f>'[1]MOM 2025'!F7</f>
        <v>0</v>
      </c>
      <c r="G25" s="34">
        <f>'[1]MOM 2025'!G7</f>
        <v>0</v>
      </c>
      <c r="H25" s="34">
        <f>'[1]MOM 2025'!H7</f>
        <v>0</v>
      </c>
      <c r="I25" s="34">
        <f>'[1]MOM 2025'!I7</f>
        <v>0</v>
      </c>
      <c r="J25" s="34">
        <f>'[1]MOM 2025'!J7</f>
        <v>0</v>
      </c>
      <c r="K25" s="34">
        <f>'[1]MOM 2025'!K7</f>
        <v>275565.19005430117</v>
      </c>
      <c r="L25" s="34">
        <f>'[1]MOM 2025'!L7</f>
        <v>34340.540154329799</v>
      </c>
      <c r="M25" s="34">
        <f>'[1]MOM 2025'!M7</f>
        <v>9662.1299999999992</v>
      </c>
      <c r="N25" s="39">
        <f>'[1]MOM 2025'!N7</f>
        <v>79891.965052157757</v>
      </c>
      <c r="O25" s="40">
        <f>'[1]MOM 2025'!O7</f>
        <v>319567.86020863103</v>
      </c>
      <c r="P25" s="41">
        <f>'[1]MOM 2025'!P7</f>
        <v>958703.58062589297</v>
      </c>
    </row>
    <row r="26" spans="1:16">
      <c r="A26" s="38" t="str">
        <f>'[1]MOM 2025'!A5</f>
        <v>Angie Richards</v>
      </c>
      <c r="B26" s="34">
        <f>'[1]MOM 2025'!B5</f>
        <v>0</v>
      </c>
      <c r="C26" s="34">
        <f>'[1]MOM 2025'!C5</f>
        <v>0</v>
      </c>
      <c r="D26" s="34">
        <f>'[1]MOM 2025'!D5</f>
        <v>0</v>
      </c>
      <c r="E26" s="34">
        <f>'[1]MOM 2025'!E5</f>
        <v>0</v>
      </c>
      <c r="F26" s="34">
        <f>'[1]MOM 2025'!F5</f>
        <v>0</v>
      </c>
      <c r="G26" s="34">
        <f>'[1]MOM 2025'!G5</f>
        <v>0</v>
      </c>
      <c r="H26" s="34">
        <f>'[1]MOM 2025'!H5</f>
        <v>0</v>
      </c>
      <c r="I26" s="34">
        <f>'[1]MOM 2025'!I5</f>
        <v>0</v>
      </c>
      <c r="J26" s="34">
        <f>'[1]MOM 2025'!J5</f>
        <v>0</v>
      </c>
      <c r="K26" s="34">
        <f>'[1]MOM 2025'!K5</f>
        <v>118116.77622177771</v>
      </c>
      <c r="L26" s="34">
        <f>'[1]MOM 2025'!L5</f>
        <v>0</v>
      </c>
      <c r="M26" s="34">
        <f>'[1]MOM 2025'!M5</f>
        <v>77308.070000000007</v>
      </c>
      <c r="N26" s="39">
        <f>'[1]MOM 2025'!N5</f>
        <v>48856.21155544441</v>
      </c>
      <c r="O26" s="40">
        <f>'[1]MOM 2025'!O5</f>
        <v>195424.8462217777</v>
      </c>
      <c r="P26" s="41">
        <f>'[1]MOM 2025'!P5</f>
        <v>586274.53866533295</v>
      </c>
    </row>
    <row r="27" spans="1:16">
      <c r="A27" s="38" t="str">
        <f>'[1]MOM 2025'!A29</f>
        <v>Tanner Brooks</v>
      </c>
      <c r="B27" s="34">
        <f>'[1]MOM 2025'!B29</f>
        <v>0</v>
      </c>
      <c r="C27" s="34">
        <f>'[1]MOM 2025'!C29</f>
        <v>0</v>
      </c>
      <c r="D27" s="34">
        <f>'[1]MOM 2025'!D29</f>
        <v>0</v>
      </c>
      <c r="E27" s="34">
        <f>'[1]MOM 2025'!E29</f>
        <v>0</v>
      </c>
      <c r="F27" s="34">
        <f>'[1]MOM 2025'!F29</f>
        <v>0</v>
      </c>
      <c r="G27" s="34">
        <f>'[1]MOM 2025'!G29</f>
        <v>0</v>
      </c>
      <c r="H27" s="34">
        <f>'[1]MOM 2025'!H29</f>
        <v>0</v>
      </c>
      <c r="I27" s="34">
        <f>'[1]MOM 2025'!I29</f>
        <v>0</v>
      </c>
      <c r="J27" s="34">
        <f>'[1]MOM 2025'!J29</f>
        <v>0</v>
      </c>
      <c r="K27" s="34">
        <f>'[1]MOM 2025'!K29</f>
        <v>0</v>
      </c>
      <c r="L27" s="34">
        <f>'[1]MOM 2025'!L29</f>
        <v>4777.0791654758495</v>
      </c>
      <c r="M27" s="34">
        <f>'[1]MOM 2025'!M29</f>
        <v>56409.8</v>
      </c>
      <c r="N27" s="39">
        <f>'[1]MOM 2025'!N29</f>
        <v>15296.71979136896</v>
      </c>
      <c r="O27" s="40">
        <f>'[1]MOM 2025'!O29</f>
        <v>61186.879165475853</v>
      </c>
      <c r="P27" s="41">
        <f>'[1]MOM 2025'!P29</f>
        <v>183560.6374964276</v>
      </c>
    </row>
    <row r="28" spans="1:16">
      <c r="A28" s="38" t="str">
        <f>'[1]MOM 2025'!A26</f>
        <v>Sean Porrazzo</v>
      </c>
      <c r="B28" s="34">
        <f>'[1]MOM 2025'!B26</f>
        <v>0</v>
      </c>
      <c r="C28" s="34">
        <f>'[1]MOM 2025'!C26</f>
        <v>0</v>
      </c>
      <c r="D28" s="34">
        <f>'[1]MOM 2025'!D26</f>
        <v>0</v>
      </c>
      <c r="E28" s="34">
        <f>'[1]MOM 2025'!E26</f>
        <v>0</v>
      </c>
      <c r="F28" s="34">
        <f>'[1]MOM 2025'!F26</f>
        <v>0</v>
      </c>
      <c r="G28" s="34">
        <f>'[1]MOM 2025'!G26</f>
        <v>0</v>
      </c>
      <c r="H28" s="34">
        <f>'[1]MOM 2025'!H26</f>
        <v>0</v>
      </c>
      <c r="I28" s="34">
        <f>'[1]MOM 2025'!I26</f>
        <v>0</v>
      </c>
      <c r="J28" s="34">
        <f>'[1]MOM 2025'!J26</f>
        <v>0</v>
      </c>
      <c r="K28" s="34">
        <f>'[1]MOM 2025'!K26</f>
        <v>12055.730208631039</v>
      </c>
      <c r="L28" s="34">
        <f>'[1]MOM 2025'!L26</f>
        <v>11677.022006287511</v>
      </c>
      <c r="M28" s="34">
        <f>'[1]MOM 2025'!M26</f>
        <v>16055.17</v>
      </c>
      <c r="N28" s="39">
        <f>'[1]MOM 2025'!N26</f>
        <v>9946.9805537296361</v>
      </c>
      <c r="O28" s="40">
        <f>'[1]MOM 2025'!O26</f>
        <v>39787.922214918537</v>
      </c>
      <c r="P28" s="41">
        <f>'[1]MOM 2025'!P26</f>
        <v>119363.7666447556</v>
      </c>
    </row>
    <row r="29" spans="1:16">
      <c r="A29" s="38" t="str">
        <f>'[1]MOM 2025'!A9</f>
        <v>Brittany Durroh</v>
      </c>
      <c r="B29" s="34">
        <f>'[1]MOM 2025'!B9</f>
        <v>0</v>
      </c>
      <c r="C29" s="34">
        <f>'[1]MOM 2025'!C9</f>
        <v>0</v>
      </c>
      <c r="D29" s="34">
        <f>'[1]MOM 2025'!D9</f>
        <v>0</v>
      </c>
      <c r="E29" s="34">
        <f>'[1]MOM 2025'!E9</f>
        <v>0</v>
      </c>
      <c r="F29" s="34">
        <f>'[1]MOM 2025'!F9</f>
        <v>0</v>
      </c>
      <c r="G29" s="34">
        <f>'[1]MOM 2025'!G9</f>
        <v>0</v>
      </c>
      <c r="H29" s="34">
        <f>'[1]MOM 2025'!H9</f>
        <v>0</v>
      </c>
      <c r="I29" s="34">
        <f>'[1]MOM 2025'!I9</f>
        <v>0</v>
      </c>
      <c r="J29" s="34">
        <f>'[1]MOM 2025'!J9</f>
        <v>0</v>
      </c>
      <c r="K29" s="34">
        <f>'[1]MOM 2025'!K9</f>
        <v>0</v>
      </c>
      <c r="L29" s="34">
        <f>'[1]MOM 2025'!L9</f>
        <v>7208.4166904829963</v>
      </c>
      <c r="M29" s="34">
        <f>'[1]MOM 2025'!M9</f>
        <v>21503.24</v>
      </c>
      <c r="N29" s="39">
        <f>'[1]MOM 2025'!N9</f>
        <v>7177.9141726207499</v>
      </c>
      <c r="O29" s="40">
        <f>'[1]MOM 2025'!O9</f>
        <v>28711.656690483</v>
      </c>
      <c r="P29" s="41">
        <f>'[1]MOM 2025'!P9</f>
        <v>86134.970071448988</v>
      </c>
    </row>
    <row r="30" spans="1:16" ht="15.75" thickBot="1">
      <c r="A30" s="42" t="str">
        <f>'[1]MOM 2025'!A14</f>
        <v>David Matthews</v>
      </c>
      <c r="B30" s="43">
        <f>'[1]MOM 2025'!B14</f>
        <v>0</v>
      </c>
      <c r="C30" s="43">
        <f>'[1]MOM 2025'!C14</f>
        <v>0</v>
      </c>
      <c r="D30" s="43">
        <f>'[1]MOM 2025'!D14</f>
        <v>0</v>
      </c>
      <c r="E30" s="43">
        <f>'[1]MOM 2025'!E14</f>
        <v>0</v>
      </c>
      <c r="F30" s="43">
        <f>'[1]MOM 2025'!F14</f>
        <v>0</v>
      </c>
      <c r="G30" s="43">
        <f>'[1]MOM 2025'!G14</f>
        <v>0</v>
      </c>
      <c r="H30" s="43">
        <f>'[1]MOM 2025'!H14</f>
        <v>0</v>
      </c>
      <c r="I30" s="43">
        <f>'[1]MOM 2025'!I14</f>
        <v>0</v>
      </c>
      <c r="J30" s="43">
        <f>'[1]MOM 2025'!J14</f>
        <v>10721.577593598169</v>
      </c>
      <c r="K30" s="43">
        <f>'[1]MOM 2025'!K14</f>
        <v>0</v>
      </c>
      <c r="L30" s="43">
        <f>'[1]MOM 2025'!L14</f>
        <v>0</v>
      </c>
      <c r="M30" s="43">
        <f>'[1]MOM 2025'!M14</f>
        <v>12647.48</v>
      </c>
      <c r="N30" s="45">
        <f>'[1]MOM 2025'!N14</f>
        <v>5842.2643983995422</v>
      </c>
      <c r="O30" s="46">
        <f>'[1]MOM 2025'!O14</f>
        <v>23369.057593598169</v>
      </c>
      <c r="P30" s="47">
        <f>'[1]MOM 2025'!P14</f>
        <v>70107.172780794499</v>
      </c>
    </row>
    <row r="31" spans="1:16" ht="15.75" thickBot="1">
      <c r="A31" s="15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 ht="15.75" thickBot="1">
      <c r="A32" s="35" t="str">
        <f>'[1]MOM 2025'!A32</f>
        <v>Total</v>
      </c>
      <c r="B32" s="36">
        <f>'[1]MOM 2025'!B32</f>
        <v>4535223.7471471997</v>
      </c>
      <c r="C32" s="36">
        <f>'[1]MOM 2025'!C32</f>
        <v>10001580.853891499</v>
      </c>
      <c r="D32" s="36">
        <f>'[1]MOM 2025'!D32</f>
        <v>9381480.6534398608</v>
      </c>
      <c r="E32" s="36">
        <f>'[1]MOM 2025'!E32</f>
        <v>11818822.1250463</v>
      </c>
      <c r="F32" s="36">
        <f>'[1]MOM 2025'!F32</f>
        <v>9438369.3109557405</v>
      </c>
      <c r="G32" s="36">
        <f>'[1]MOM 2025'!G32</f>
        <v>8572779.8973358497</v>
      </c>
      <c r="H32" s="36">
        <f>'[1]MOM 2025'!H32</f>
        <v>8992927.68818748</v>
      </c>
      <c r="I32" s="36">
        <f>'[1]MOM 2025'!I32</f>
        <v>4502429.8188768197</v>
      </c>
      <c r="J32" s="36">
        <f>'[1]MOM 2025'!J32</f>
        <v>11747435.2469211</v>
      </c>
      <c r="K32" s="36">
        <f>'[1]MOM 2025'!K32</f>
        <v>13838114.1019929</v>
      </c>
      <c r="L32" s="36">
        <f>'[1]MOM 2025'!L32</f>
        <v>11602325.550076</v>
      </c>
      <c r="M32" s="36">
        <f>'[1]MOM 2025'!M32</f>
        <v>7047920</v>
      </c>
      <c r="N32" s="36">
        <f>'[1]MOM 2025'!N32</f>
        <v>9289950.7494892199</v>
      </c>
      <c r="O32" s="36">
        <f>'[1]MOM 2025'!O32</f>
        <v>111479408.993871</v>
      </c>
      <c r="P32" s="37">
        <f>'[1]MOM 2025'!P32</f>
        <v>121107641.43696401</v>
      </c>
    </row>
  </sheetData>
  <sheetProtection sheet="1" objects="1" scenarios="1"/>
  <autoFilter ref="A1:P30" xr:uid="{0F348D3A-CA0F-4C38-903F-7F3E7582067D}">
    <sortState xmlns:xlrd2="http://schemas.microsoft.com/office/spreadsheetml/2017/richdata2" ref="A2:P30">
      <sortCondition descending="1" ref="O1:O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CJ Thomas</dc:creator>
  <cp:keywords/>
  <dc:description/>
  <cp:lastModifiedBy>CJ Thomas</cp:lastModifiedBy>
  <cp:revision/>
  <dcterms:created xsi:type="dcterms:W3CDTF">2024-07-11T19:52:24Z</dcterms:created>
  <dcterms:modified xsi:type="dcterms:W3CDTF">2026-04-27T21:36:51Z</dcterms:modified>
  <cp:category/>
  <cp:contentStatus/>
</cp:coreProperties>
</file>